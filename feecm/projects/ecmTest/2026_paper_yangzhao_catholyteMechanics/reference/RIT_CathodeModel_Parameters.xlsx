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riel Gan\Downloads\"/>
    </mc:Choice>
  </mc:AlternateContent>
  <xr:revisionPtr revIDLastSave="0" documentId="13_ncr:1_{6452DB9B-18D8-4768-BAE5-AF18279D2A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stern_NEW" sheetId="3" r:id="rId1"/>
    <sheet name="RIT_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L10" i="3" s="1"/>
  <c r="K9" i="3"/>
  <c r="K10" i="3" s="1"/>
  <c r="L9" i="2"/>
  <c r="L10" i="2" s="1"/>
  <c r="K9" i="2"/>
  <c r="K10" i="2" s="1"/>
</calcChain>
</file>

<file path=xl/sharedStrings.xml><?xml version="1.0" encoding="utf-8"?>
<sst xmlns="http://schemas.openxmlformats.org/spreadsheetml/2006/main" count="74" uniqueCount="41">
  <si>
    <t>CAM</t>
  </si>
  <si>
    <t>SE</t>
  </si>
  <si>
    <t>Property</t>
  </si>
  <si>
    <t>Young's Modulus (E) [GPa]</t>
  </si>
  <si>
    <t>Poisson's ratio (𝜈) [-]</t>
  </si>
  <si>
    <r>
      <t>Hardness (H</t>
    </r>
    <r>
      <rPr>
        <vertAlign val="subscript"/>
        <sz val="11"/>
        <color theme="1"/>
        <rFont val="等线"/>
        <family val="2"/>
        <scheme val="minor"/>
      </rPr>
      <t>v</t>
    </r>
    <r>
      <rPr>
        <sz val="11"/>
        <color theme="1"/>
        <rFont val="等线"/>
        <family val="2"/>
        <scheme val="minor"/>
      </rPr>
      <t>) [GPa]</t>
    </r>
  </si>
  <si>
    <t>Assumptions</t>
  </si>
  <si>
    <t>ξ [-]</t>
  </si>
  <si>
    <r>
      <t>ε</t>
    </r>
    <r>
      <rPr>
        <vertAlign val="subscript"/>
        <sz val="11"/>
        <color theme="1"/>
        <rFont val="等线"/>
        <family val="2"/>
        <scheme val="minor"/>
      </rPr>
      <t>𝑝</t>
    </r>
    <r>
      <rPr>
        <sz val="11"/>
        <color theme="1"/>
        <rFont val="等线"/>
        <family val="2"/>
        <scheme val="minor"/>
      </rPr>
      <t xml:space="preserve"> [-]</t>
    </r>
  </si>
  <si>
    <t>Calculation</t>
  </si>
  <si>
    <r>
      <rPr>
        <sz val="11"/>
        <rFont val="Aptos Narrow"/>
        <family val="2"/>
      </rPr>
      <t>σ</t>
    </r>
    <r>
      <rPr>
        <vertAlign val="subscript"/>
        <sz val="11"/>
        <rFont val="等线"/>
        <family val="2"/>
        <scheme val="minor"/>
      </rPr>
      <t>𝑢</t>
    </r>
    <r>
      <rPr>
        <sz val="11"/>
        <rFont val="等线"/>
        <family val="2"/>
        <scheme val="minor"/>
      </rPr>
      <t xml:space="preserve"> [MPa]</t>
    </r>
  </si>
  <si>
    <r>
      <t>E</t>
    </r>
    <r>
      <rPr>
        <vertAlign val="subscript"/>
        <sz val="11"/>
        <color theme="1"/>
        <rFont val="等线"/>
        <family val="2"/>
        <scheme val="minor"/>
      </rPr>
      <t>t</t>
    </r>
    <r>
      <rPr>
        <sz val="11"/>
        <color theme="1"/>
        <rFont val="等线"/>
        <family val="2"/>
        <scheme val="minor"/>
      </rPr>
      <t xml:space="preserve"> [GPa]</t>
    </r>
  </si>
  <si>
    <r>
      <rPr>
        <sz val="11"/>
        <rFont val="Aptos Narrow"/>
        <family val="2"/>
      </rPr>
      <t>σ</t>
    </r>
    <r>
      <rPr>
        <vertAlign val="subscript"/>
        <sz val="11"/>
        <rFont val="等线"/>
        <family val="2"/>
        <scheme val="minor"/>
      </rPr>
      <t>y</t>
    </r>
    <r>
      <rPr>
        <sz val="11"/>
        <rFont val="等线"/>
        <family val="2"/>
        <scheme val="minor"/>
      </rPr>
      <t xml:space="preserve"> [MPa]</t>
    </r>
  </si>
  <si>
    <t>NMC811</t>
  </si>
  <si>
    <t>LPSCl</t>
  </si>
  <si>
    <t>CAM Volume Change [%]</t>
  </si>
  <si>
    <t>CAM to SE (WR)</t>
  </si>
  <si>
    <t>70:30</t>
  </si>
  <si>
    <t>Stack Pressure [MPa]</t>
  </si>
  <si>
    <t>1:1</t>
    <phoneticPr fontId="9" type="noConversion"/>
  </si>
  <si>
    <t>Young's Modulus (E) [GPa]</t>
    <phoneticPr fontId="9" type="noConversion"/>
  </si>
  <si>
    <r>
      <t>Hardness (H</t>
    </r>
    <r>
      <rPr>
        <vertAlign val="subscript"/>
        <sz val="11"/>
        <color theme="1"/>
        <rFont val="等线"/>
        <family val="2"/>
        <scheme val="minor"/>
      </rPr>
      <t>v</t>
    </r>
    <r>
      <rPr>
        <sz val="11"/>
        <color theme="1"/>
        <rFont val="等线"/>
        <family val="2"/>
        <scheme val="minor"/>
      </rPr>
      <t>) [GPa]</t>
    </r>
    <phoneticPr fontId="9" type="noConversion"/>
  </si>
  <si>
    <t>90 oC</t>
    <phoneticPr fontId="9" type="noConversion"/>
  </si>
  <si>
    <t>25 oC</t>
    <phoneticPr fontId="9" type="noConversion"/>
  </si>
  <si>
    <t>Test 1</t>
    <phoneticPr fontId="9" type="noConversion"/>
  </si>
  <si>
    <t>Test 2</t>
    <phoneticPr fontId="9" type="noConversion"/>
  </si>
  <si>
    <t>Test 3</t>
    <phoneticPr fontId="9" type="noConversion"/>
  </si>
  <si>
    <t>Poisson's ratio</t>
    <phoneticPr fontId="9" type="noConversion"/>
  </si>
  <si>
    <t>Young's Modulus (MPa)</t>
    <phoneticPr fontId="9" type="noConversion"/>
  </si>
  <si>
    <t>Hardness (MPa)</t>
    <phoneticPr fontId="9" type="noConversion"/>
  </si>
  <si>
    <t>NVP</t>
    <phoneticPr fontId="9" type="noConversion"/>
  </si>
  <si>
    <t>NACS</t>
    <phoneticPr fontId="9" type="noConversion"/>
  </si>
  <si>
    <t>NVP CAM</t>
    <phoneticPr fontId="9" type="noConversion"/>
  </si>
  <si>
    <t>Hardness (GPa)</t>
    <phoneticPr fontId="9" type="noConversion"/>
  </si>
  <si>
    <t>Young's Modulus (GPa)</t>
    <phoneticPr fontId="9" type="noConversion"/>
  </si>
  <si>
    <t>CAM</t>
    <phoneticPr fontId="9" type="noConversion"/>
  </si>
  <si>
    <t>SE</t>
    <phoneticPr fontId="9" type="noConversion"/>
  </si>
  <si>
    <t>CNT</t>
    <phoneticPr fontId="9" type="noConversion"/>
  </si>
  <si>
    <t>Volume Change</t>
    <phoneticPr fontId="9" type="noConversion"/>
  </si>
  <si>
    <t>4%-8.3%</t>
    <phoneticPr fontId="9" type="noConversion"/>
  </si>
  <si>
    <t>https://link.springer.com/article/10.1007/s11581-022-04820-z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</si>
</sst>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scheme val="minor"/>
    </font>
    <font>
      <vertAlign val="subscript"/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name val="等线"/>
      <family val="2"/>
      <scheme val="minor"/>
    </font>
    <font>
      <vertAlign val="subscript"/>
      <sz val="11"/>
      <name val="等线"/>
      <family val="2"/>
      <scheme val="minor"/>
    </font>
    <font>
      <sz val="11"/>
      <name val="Aptos Narrow"/>
      <family val="2"/>
    </font>
    <font>
      <sz val="11"/>
      <color rgb="FF3F3F3F"/>
      <name val="等线"/>
      <family val="2"/>
      <scheme val="minor"/>
    </font>
    <font>
      <sz val="11"/>
      <color rgb="FFC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1" xfId="1"/>
    <xf numFmtId="0" fontId="7" fillId="2" borderId="1" xfId="1" applyFont="1" applyAlignment="1">
      <alignment horizontal="center"/>
    </xf>
    <xf numFmtId="49" fontId="7" fillId="2" borderId="1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1" applyFont="1" applyAlignment="1">
      <alignment horizontal="center"/>
    </xf>
    <xf numFmtId="49" fontId="8" fillId="2" borderId="1" xfId="1" applyNumberFormat="1" applyFont="1" applyAlignment="1">
      <alignment horizontal="center"/>
    </xf>
    <xf numFmtId="9" fontId="0" fillId="0" borderId="0" xfId="0" applyNumberFormat="1"/>
  </cellXfs>
  <cellStyles count="2">
    <cellStyle name="Normal" xfId="0" builtinId="0"/>
    <cellStyle name="Output" xfId="1" builtinId="21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4</xdr:row>
      <xdr:rowOff>85725</xdr:rowOff>
    </xdr:from>
    <xdr:to>
      <xdr:col>4</xdr:col>
      <xdr:colOff>209565</xdr:colOff>
      <xdr:row>22</xdr:row>
      <xdr:rowOff>153127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AED99B-02C8-4C15-8C50-528B72AFE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828675"/>
          <a:ext cx="2695590" cy="3382102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23</xdr:row>
      <xdr:rowOff>19050</xdr:rowOff>
    </xdr:from>
    <xdr:to>
      <xdr:col>4</xdr:col>
      <xdr:colOff>190500</xdr:colOff>
      <xdr:row>36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56DAD1-F426-478D-9DF9-E3DB9EFCA94F}"/>
                </a:ext>
              </a:extLst>
            </xdr:cNvPr>
            <xdr:cNvSpPr txBox="1"/>
          </xdr:nvSpPr>
          <xdr:spPr>
            <a:xfrm>
              <a:off x="133350" y="4257675"/>
              <a:ext cx="2647950" cy="2381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Model Inputs:</a:t>
              </a:r>
            </a:p>
            <a:p>
              <a:r>
                <a:rPr lang="en-US" sz="1100"/>
                <a:t>- CAM Volume change (VC) [%]</a:t>
              </a:r>
            </a:p>
            <a:p>
              <a:r>
                <a:rPr lang="en-US" sz="1100"/>
                <a:t>- Weight Ratio of CAM to SE (WR)</a:t>
              </a:r>
            </a:p>
            <a:p>
              <a:r>
                <a:rPr lang="en-US" sz="1100"/>
                <a:t>- Stack Pressure (SP) [MPa]</a:t>
              </a:r>
            </a:p>
            <a:p>
              <a:endParaRPr lang="en-US" sz="1100"/>
            </a:p>
            <a:p>
              <a:r>
                <a:rPr lang="en-US" sz="1100" b="1"/>
                <a:t>CAM and SE Properties Needed:</a:t>
              </a:r>
            </a:p>
            <a:p>
              <a:r>
                <a:rPr lang="en-US" sz="1100"/>
                <a:t>- Young's</a:t>
              </a:r>
              <a:r>
                <a:rPr lang="en-US" sz="1100" baseline="0"/>
                <a:t> Modulus (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1" baseline="0">
                      <a:latin typeface="Cambria Math" panose="02040503050406030204" pitchFamily="18" charset="0"/>
                    </a:rPr>
                    <m:t>E</m:t>
                  </m:r>
                </m:oMath>
              </a14:m>
              <a:r>
                <a:rPr lang="en-US" sz="1100" baseline="0"/>
                <a:t>) [GPa]</a:t>
              </a:r>
            </a:p>
            <a:p>
              <a:r>
                <a:rPr lang="en-US" sz="1100" baseline="0"/>
                <a:t>- Plastic Hardening Tangent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E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t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[GPa]</a:t>
              </a:r>
            </a:p>
            <a:p>
              <a:r>
                <a:rPr lang="en-US" sz="1100" baseline="0"/>
                <a:t>- Plastic Strain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𝜀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[-]</a:t>
              </a:r>
            </a:p>
            <a:p>
              <a:r>
                <a:rPr lang="en-US" sz="1100" baseline="0"/>
                <a:t>- Yield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𝜎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y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[MPa]</a:t>
              </a:r>
            </a:p>
            <a:p>
              <a:r>
                <a:rPr lang="en-US" sz="1100" baseline="0"/>
                <a:t>- Ultimate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𝜎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u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[MPa]</a:t>
              </a:r>
            </a:p>
            <a:p>
              <a:r>
                <a:rPr lang="en-US" sz="1100" baseline="0"/>
                <a:t>-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Poissons Ratio (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𝜈</m:t>
                  </m:r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[-]</a:t>
              </a:r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756DAD1-F426-478D-9DF9-E3DB9EFCA94F}"/>
                </a:ext>
              </a:extLst>
            </xdr:cNvPr>
            <xdr:cNvSpPr txBox="1"/>
          </xdr:nvSpPr>
          <xdr:spPr>
            <a:xfrm>
              <a:off x="133350" y="4257675"/>
              <a:ext cx="2647950" cy="2381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Model Inputs:</a:t>
              </a:r>
            </a:p>
            <a:p>
              <a:r>
                <a:rPr lang="en-US" sz="1100"/>
                <a:t>- CAM Volume change (VC) [%]</a:t>
              </a:r>
            </a:p>
            <a:p>
              <a:r>
                <a:rPr lang="en-US" sz="1100"/>
                <a:t>- Weight Ratio of CAM to SE (WR)</a:t>
              </a:r>
            </a:p>
            <a:p>
              <a:r>
                <a:rPr lang="en-US" sz="1100"/>
                <a:t>- Stack Pressure (SP) [MPa]</a:t>
              </a:r>
            </a:p>
            <a:p>
              <a:endParaRPr lang="en-US" sz="1100"/>
            </a:p>
            <a:p>
              <a:r>
                <a:rPr lang="en-US" sz="1100" b="1"/>
                <a:t>CAM and SE Properties Needed:</a:t>
              </a:r>
            </a:p>
            <a:p>
              <a:r>
                <a:rPr lang="en-US" sz="1100"/>
                <a:t>- Young's</a:t>
              </a:r>
              <a:r>
                <a:rPr lang="en-US" sz="1100" baseline="0"/>
                <a:t> Modulus (</a:t>
              </a:r>
              <a:r>
                <a:rPr lang="en-US" sz="1100" b="0" i="0" baseline="0">
                  <a:latin typeface="Cambria Math" panose="02040503050406030204" pitchFamily="18" charset="0"/>
                </a:rPr>
                <a:t>E</a:t>
              </a:r>
              <a:r>
                <a:rPr lang="en-US" sz="1100" baseline="0"/>
                <a:t>) [GPa]</a:t>
              </a:r>
            </a:p>
            <a:p>
              <a:r>
                <a:rPr lang="en-US" sz="1100" baseline="0"/>
                <a:t>- Plastic Hardening Tangent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E_t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[GPa]</a:t>
              </a:r>
            </a:p>
            <a:p>
              <a:r>
                <a:rPr lang="en-US" sz="1100" baseline="0"/>
                <a:t>- Plastic Strain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[-]</a:t>
              </a:r>
            </a:p>
            <a:p>
              <a:r>
                <a:rPr lang="en-US" sz="1100" baseline="0"/>
                <a:t>- Yield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[MPa]</a:t>
              </a:r>
            </a:p>
            <a:p>
              <a:r>
                <a:rPr lang="en-US" sz="1100" baseline="0"/>
                <a:t>- Ultimate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u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[MPa]</a:t>
              </a:r>
            </a:p>
            <a:p>
              <a:r>
                <a:rPr lang="en-US" sz="1100" baseline="0"/>
                <a:t>-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Poissons Ratio 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𝜈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[-]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5</xdr:col>
      <xdr:colOff>9525</xdr:colOff>
      <xdr:row>9</xdr:row>
      <xdr:rowOff>152399</xdr:rowOff>
    </xdr:from>
    <xdr:to>
      <xdr:col>8</xdr:col>
      <xdr:colOff>47625</xdr:colOff>
      <xdr:row>21</xdr:row>
      <xdr:rowOff>180974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0D1A3BA-CBD7-486E-BEA6-73083F2F38BE}"/>
                </a:ext>
              </a:extLst>
            </xdr:cNvPr>
            <xdr:cNvSpPr txBox="1"/>
          </xdr:nvSpPr>
          <xdr:spPr>
            <a:xfrm>
              <a:off x="3248025" y="1838324"/>
              <a:ext cx="2914650" cy="2219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Equations</a:t>
              </a:r>
              <a:endParaRPr lang="en-US" sz="1100" b="0"/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σ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σ</m:t>
                          </m:r>
                        </m:e>
                        <m:sub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ε</m:t>
                          </m:r>
                        </m:e>
                        <m:sub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sub>
                      </m:sSub>
                    </m:den>
                  </m:f>
                </m:oMath>
              </a14:m>
              <a:r>
                <a:rPr lang="en-US" sz="1100" b="0" i="0"/>
                <a:t>, (1)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𝑢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≅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𝑣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𝜉</m:t>
                      </m:r>
                    </m:den>
                  </m:f>
                </m:oMath>
              </a14:m>
              <a:r>
                <a:rPr lang="en-US" sz="1100" b="0" i="0"/>
                <a:t>, (2).</a:t>
              </a:r>
              <a:r>
                <a:rPr lang="en-US" sz="1100" b="0" i="0" baseline="0"/>
                <a:t> Where 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𝜉</m:t>
                  </m:r>
                </m:oMath>
              </a14:m>
              <a:r>
                <a:rPr lang="en-US" sz="1100" b="0" i="0"/>
                <a:t> is a coefficent</a:t>
              </a:r>
              <a:r>
                <a:rPr lang="en-US" sz="1100" b="0" i="0" baseline="0"/>
                <a:t> between 50-100 for ceramics [1,2].</a:t>
              </a:r>
            </a:p>
            <a:p>
              <a:endParaRPr lang="en-US" sz="1100" b="0" i="0" baseline="0"/>
            </a:p>
            <a:p>
              <a:r>
                <a:rPr lang="en-US" sz="1100" b="0" i="0" baseline="0"/>
                <a:t>References:</a:t>
              </a:r>
            </a:p>
            <a:p>
              <a:r>
                <a:rPr lang="en-US" sz="1100" b="0" i="0" baseline="0"/>
                <a:t>[1] https://doi.org/10.1016/S1365-1609(02)00032-1</a:t>
              </a:r>
            </a:p>
            <a:p>
              <a:r>
                <a:rPr lang="en-US" sz="1100" b="0" i="0" baseline="0"/>
                <a:t>[2] https://doi.org/10.1016/j.msea.2011.08.061</a:t>
              </a:r>
              <a:endParaRPr lang="en-US" sz="1100" b="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0D1A3BA-CBD7-486E-BEA6-73083F2F38BE}"/>
                </a:ext>
              </a:extLst>
            </xdr:cNvPr>
            <xdr:cNvSpPr txBox="1"/>
          </xdr:nvSpPr>
          <xdr:spPr>
            <a:xfrm>
              <a:off x="3248025" y="1838324"/>
              <a:ext cx="2914650" cy="2219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Equations</a:t>
              </a:r>
              <a:endParaRPr lang="en-US" sz="1100" b="0"/>
            </a:p>
            <a:p>
              <a:r>
                <a:rPr lang="en-US" sz="1600" b="0" i="0">
                  <a:latin typeface="Cambria Math" panose="02040503050406030204" pitchFamily="18" charset="0"/>
                </a:rPr>
                <a:t>𝐸_𝑡=(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en-US" sz="1600" b="0" i="0">
                  <a:latin typeface="Cambria Math" panose="02040503050406030204" pitchFamily="18" charset="0"/>
                </a:rPr>
                <a:t>𝑢−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σ_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𝑦)/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ε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 </a:t>
              </a:r>
              <a:r>
                <a:rPr lang="en-US" sz="1100" b="0" i="0"/>
                <a:t>, (1)</a:t>
              </a: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1600" b="0" i="0">
                  <a:latin typeface="Cambria Math" panose="02040503050406030204" pitchFamily="18" charset="0"/>
                </a:rPr>
                <a:t>𝑢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≅</a:t>
              </a:r>
              <a:r>
                <a:rPr lang="en-US" sz="1600" b="0" i="0">
                  <a:latin typeface="Cambria Math" panose="02040503050406030204" pitchFamily="18" charset="0"/>
                </a:rPr>
                <a:t>𝐻_𝑣/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𝜉</a:t>
              </a:r>
              <a:r>
                <a:rPr lang="en-US" sz="1100" b="0" i="0"/>
                <a:t>, (2).</a:t>
              </a:r>
              <a:r>
                <a:rPr lang="en-US" sz="1100" b="0" i="0" baseline="0"/>
                <a:t> Where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𝜉</a:t>
              </a:r>
              <a:r>
                <a:rPr lang="en-US" sz="1100" b="0" i="0"/>
                <a:t> is a coefficent</a:t>
              </a:r>
              <a:r>
                <a:rPr lang="en-US" sz="1100" b="0" i="0" baseline="0"/>
                <a:t> between 50-100 for ceramics [1,2].</a:t>
              </a:r>
            </a:p>
            <a:p>
              <a:endParaRPr lang="en-US" sz="1100" b="0" i="0" baseline="0"/>
            </a:p>
            <a:p>
              <a:r>
                <a:rPr lang="en-US" sz="1100" b="0" i="0" baseline="0"/>
                <a:t>References:</a:t>
              </a:r>
            </a:p>
            <a:p>
              <a:r>
                <a:rPr lang="en-US" sz="1100" b="0" i="0" baseline="0"/>
                <a:t>[1] https://doi.org/10.1016/S1365-1609(02)00032-1</a:t>
              </a:r>
            </a:p>
            <a:p>
              <a:r>
                <a:rPr lang="en-US" sz="1100" b="0" i="0" baseline="0"/>
                <a:t>[2] https://doi.org/10.1016/j.msea.2011.08.061</a:t>
              </a:r>
              <a:endParaRPr lang="en-US" sz="1100" b="0" i="0"/>
            </a:p>
          </xdr:txBody>
        </xdr:sp>
      </mc:Fallback>
    </mc:AlternateContent>
    <xdr:clientData/>
  </xdr:twoCellAnchor>
  <xdr:twoCellAnchor>
    <xdr:from>
      <xdr:col>4</xdr:col>
      <xdr:colOff>476250</xdr:colOff>
      <xdr:row>24</xdr:row>
      <xdr:rowOff>57150</xdr:rowOff>
    </xdr:from>
    <xdr:to>
      <xdr:col>9</xdr:col>
      <xdr:colOff>581025</xdr:colOff>
      <xdr:row>35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F01550-C832-E04C-8A68-D1970B9A8A9E}"/>
            </a:ext>
          </a:extLst>
        </xdr:cNvPr>
        <xdr:cNvSpPr txBox="1"/>
      </xdr:nvSpPr>
      <xdr:spPr>
        <a:xfrm>
          <a:off x="3067050" y="4476750"/>
          <a:ext cx="4276725" cy="1990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/>
            <a:t>NOTE</a:t>
          </a:r>
          <a:r>
            <a:rPr lang="en-US" sz="4000"/>
            <a:t>:</a:t>
          </a:r>
          <a:br>
            <a:rPr lang="en-US" sz="4000"/>
          </a:br>
          <a:r>
            <a:rPr lang="en-US" sz="4000"/>
            <a:t>Please fill in </a:t>
          </a:r>
          <a:r>
            <a:rPr lang="en-US" sz="4000" baseline="0"/>
            <a:t>cells with text color </a:t>
          </a:r>
          <a:r>
            <a:rPr lang="en-US" sz="4000" baseline="0">
              <a:solidFill>
                <a:srgbClr val="FF0000"/>
              </a:solidFill>
            </a:rPr>
            <a:t>red</a:t>
          </a:r>
          <a:r>
            <a:rPr lang="en-US" sz="4000" baseline="0"/>
            <a:t>.</a:t>
          </a:r>
          <a:endParaRPr lang="en-US" sz="4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4</xdr:row>
      <xdr:rowOff>85725</xdr:rowOff>
    </xdr:from>
    <xdr:to>
      <xdr:col>4</xdr:col>
      <xdr:colOff>209565</xdr:colOff>
      <xdr:row>22</xdr:row>
      <xdr:rowOff>153127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455D1-C100-4734-9082-0C15FC2B2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828675"/>
          <a:ext cx="2695590" cy="3382102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23</xdr:row>
      <xdr:rowOff>19050</xdr:rowOff>
    </xdr:from>
    <xdr:to>
      <xdr:col>4</xdr:col>
      <xdr:colOff>190500</xdr:colOff>
      <xdr:row>36</xdr:row>
      <xdr:rowOff>47625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0DC83EB-D888-45B0-B25D-E0D331C35E63}"/>
                </a:ext>
              </a:extLst>
            </xdr:cNvPr>
            <xdr:cNvSpPr txBox="1"/>
          </xdr:nvSpPr>
          <xdr:spPr>
            <a:xfrm>
              <a:off x="133350" y="4257675"/>
              <a:ext cx="2647950" cy="2381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Model Inputs:</a:t>
              </a:r>
            </a:p>
            <a:p>
              <a:r>
                <a:rPr lang="en-US" sz="1100"/>
                <a:t>- CAM Volume change (VC) [%]</a:t>
              </a:r>
            </a:p>
            <a:p>
              <a:r>
                <a:rPr lang="en-US" sz="1100"/>
                <a:t>- Weight Ratio of CAM to SE (WR)</a:t>
              </a:r>
            </a:p>
            <a:p>
              <a:r>
                <a:rPr lang="en-US" sz="1100"/>
                <a:t>- Stack Pressure (SP) [MPa]</a:t>
              </a:r>
            </a:p>
            <a:p>
              <a:endParaRPr lang="en-US" sz="1100"/>
            </a:p>
            <a:p>
              <a:r>
                <a:rPr lang="en-US" sz="1100" b="1"/>
                <a:t>CAM and SE Properties Needed:</a:t>
              </a:r>
            </a:p>
            <a:p>
              <a:r>
                <a:rPr lang="en-US" sz="1100"/>
                <a:t>- Young's</a:t>
              </a:r>
              <a:r>
                <a:rPr lang="en-US" sz="1100" baseline="0"/>
                <a:t> Modulus (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US" sz="1100" b="0" i="1" baseline="0">
                      <a:latin typeface="Cambria Math" panose="02040503050406030204" pitchFamily="18" charset="0"/>
                    </a:rPr>
                    <m:t>E</m:t>
                  </m:r>
                </m:oMath>
              </a14:m>
              <a:r>
                <a:rPr lang="en-US" sz="1100" baseline="0"/>
                <a:t>) [GPa]</a:t>
              </a:r>
            </a:p>
            <a:p>
              <a:r>
                <a:rPr lang="en-US" sz="1100" baseline="0"/>
                <a:t>- Plastic Hardening Tangent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E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t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[GPa]</a:t>
              </a:r>
            </a:p>
            <a:p>
              <a:r>
                <a:rPr lang="en-US" sz="1100" baseline="0"/>
                <a:t>- Plastic Strain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𝜀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p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[-]</a:t>
              </a:r>
            </a:p>
            <a:p>
              <a:r>
                <a:rPr lang="en-US" sz="1100" baseline="0"/>
                <a:t>- Yield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𝜎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y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[MPa]</a:t>
              </a:r>
            </a:p>
            <a:p>
              <a:r>
                <a:rPr lang="en-US" sz="1100" baseline="0"/>
                <a:t>- Ultimate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𝜎</m:t>
                      </m:r>
                    </m:e>
                    <m:sub>
                      <m:r>
                        <m:rPr>
                          <m:sty m:val="p"/>
                        </m:r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u</m:t>
                      </m:r>
                    </m:sub>
                  </m:sSub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[MPa]</a:t>
              </a:r>
            </a:p>
            <a:p>
              <a:r>
                <a:rPr lang="en-US" sz="1100" baseline="0"/>
                <a:t>-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Poissons Ratio (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𝜈</m:t>
                  </m:r>
                </m:oMath>
              </a14:m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[-]</a:t>
              </a:r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0DC83EB-D888-45B0-B25D-E0D331C35E63}"/>
                </a:ext>
              </a:extLst>
            </xdr:cNvPr>
            <xdr:cNvSpPr txBox="1"/>
          </xdr:nvSpPr>
          <xdr:spPr>
            <a:xfrm>
              <a:off x="133350" y="4257675"/>
              <a:ext cx="2647950" cy="23812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Model Inputs:</a:t>
              </a:r>
            </a:p>
            <a:p>
              <a:r>
                <a:rPr lang="en-US" sz="1100"/>
                <a:t>- CAM Volume change (VC) [%]</a:t>
              </a:r>
            </a:p>
            <a:p>
              <a:r>
                <a:rPr lang="en-US" sz="1100"/>
                <a:t>- Weight Ratio of CAM to SE (WR)</a:t>
              </a:r>
            </a:p>
            <a:p>
              <a:r>
                <a:rPr lang="en-US" sz="1100"/>
                <a:t>- Stack Pressure (SP) [MPa]</a:t>
              </a:r>
            </a:p>
            <a:p>
              <a:endParaRPr lang="en-US" sz="1100"/>
            </a:p>
            <a:p>
              <a:r>
                <a:rPr lang="en-US" sz="1100" b="1"/>
                <a:t>CAM and SE Properties Needed:</a:t>
              </a:r>
            </a:p>
            <a:p>
              <a:r>
                <a:rPr lang="en-US" sz="1100"/>
                <a:t>- Young's</a:t>
              </a:r>
              <a:r>
                <a:rPr lang="en-US" sz="1100" baseline="0"/>
                <a:t> Modulus (</a:t>
              </a:r>
              <a:r>
                <a:rPr lang="en-US" sz="1100" b="0" i="0" baseline="0">
                  <a:latin typeface="Cambria Math" panose="02040503050406030204" pitchFamily="18" charset="0"/>
                </a:rPr>
                <a:t>E</a:t>
              </a:r>
              <a:r>
                <a:rPr lang="en-US" sz="1100" baseline="0"/>
                <a:t>) [GPa]</a:t>
              </a:r>
            </a:p>
            <a:p>
              <a:r>
                <a:rPr lang="en-US" sz="1100" baseline="0"/>
                <a:t>- Plastic Hardening Tangent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E_t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[GPa]</a:t>
              </a:r>
            </a:p>
            <a:p>
              <a:r>
                <a:rPr lang="en-US" sz="1100" baseline="0"/>
                <a:t>- Plastic Strain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[-]</a:t>
              </a:r>
            </a:p>
            <a:p>
              <a:r>
                <a:rPr lang="en-US" sz="1100" baseline="0"/>
                <a:t>- Yield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y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/>
                <a:t> [MPa]</a:t>
              </a:r>
            </a:p>
            <a:p>
              <a:r>
                <a:rPr lang="en-US" sz="1100" baseline="0"/>
                <a:t>- Ultimate strength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𝜎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u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en-US" sz="1100" baseline="0"/>
                <a:t>[MPa]</a:t>
              </a:r>
            </a:p>
            <a:p>
              <a:r>
                <a:rPr lang="en-US" sz="1100" baseline="0"/>
                <a:t>-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Poissons Ratio (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𝜈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[-]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13</xdr:col>
      <xdr:colOff>409576</xdr:colOff>
      <xdr:row>3</xdr:row>
      <xdr:rowOff>47625</xdr:rowOff>
    </xdr:from>
    <xdr:to>
      <xdr:col>17</xdr:col>
      <xdr:colOff>57962</xdr:colOff>
      <xdr:row>12</xdr:row>
      <xdr:rowOff>59308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084792-63EE-4DFF-AF1B-0FC334FF3E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013"/>
        <a:stretch>
          <a:fillRect/>
        </a:stretch>
      </xdr:blipFill>
      <xdr:spPr bwMode="auto">
        <a:xfrm>
          <a:off x="10077451" y="590550"/>
          <a:ext cx="2239186" cy="1716658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</xdr:colOff>
      <xdr:row>9</xdr:row>
      <xdr:rowOff>152399</xdr:rowOff>
    </xdr:from>
    <xdr:to>
      <xdr:col>8</xdr:col>
      <xdr:colOff>47625</xdr:colOff>
      <xdr:row>21</xdr:row>
      <xdr:rowOff>180974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69334CE-D71B-4EDD-8687-0DA4BCE98818}"/>
                </a:ext>
              </a:extLst>
            </xdr:cNvPr>
            <xdr:cNvSpPr txBox="1"/>
          </xdr:nvSpPr>
          <xdr:spPr>
            <a:xfrm>
              <a:off x="3248025" y="1838324"/>
              <a:ext cx="2914650" cy="2219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Equations</a:t>
              </a:r>
              <a:endParaRPr lang="en-US" sz="1100" b="0"/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𝑡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σ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𝑢</m:t>
                          </m:r>
                        </m:sub>
                      </m:s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−</m:t>
                      </m:r>
                      <m:sSub>
                        <m:sSubPr>
                          <m:ctrl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σ</m:t>
                          </m:r>
                        </m:e>
                        <m:sub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cs typeface="+mn-cs"/>
                            </a:rPr>
                            <m:t>ε</m:t>
                          </m:r>
                        </m:e>
                        <m:sub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𝑝</m:t>
                          </m:r>
                        </m:sub>
                      </m:sSub>
                    </m:den>
                  </m:f>
                </m:oMath>
              </a14:m>
              <a:r>
                <a:rPr lang="en-US" sz="1100" b="0" i="0"/>
                <a:t>, (1)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𝑢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≅</m:t>
                  </m:r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𝐻</m:t>
                          </m:r>
                        </m:e>
                        <m:sub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𝑣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𝜉</m:t>
                      </m:r>
                    </m:den>
                  </m:f>
                </m:oMath>
              </a14:m>
              <a:r>
                <a:rPr lang="en-US" sz="1100" b="0" i="0"/>
                <a:t>, (2).</a:t>
              </a:r>
              <a:r>
                <a:rPr lang="en-US" sz="1100" b="0" i="0" baseline="0"/>
                <a:t> Where 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𝜉</m:t>
                  </m:r>
                </m:oMath>
              </a14:m>
              <a:r>
                <a:rPr lang="en-US" sz="1100" b="0" i="0"/>
                <a:t> is a coefficent</a:t>
              </a:r>
              <a:r>
                <a:rPr lang="en-US" sz="1100" b="0" i="0" baseline="0"/>
                <a:t> between 50-100 for ceramics [1,2].</a:t>
              </a:r>
            </a:p>
            <a:p>
              <a:endParaRPr lang="en-US" sz="1100" b="0" i="0" baseline="0"/>
            </a:p>
            <a:p>
              <a:r>
                <a:rPr lang="en-US" sz="1100" b="0" i="0" baseline="0"/>
                <a:t>References:</a:t>
              </a:r>
            </a:p>
            <a:p>
              <a:r>
                <a:rPr lang="en-US" sz="1100" b="0" i="0" baseline="0"/>
                <a:t>[1] https://doi.org/10.1016/S1365-1609(02)00032-1</a:t>
              </a:r>
            </a:p>
            <a:p>
              <a:r>
                <a:rPr lang="en-US" sz="1100" b="0" i="0" baseline="0"/>
                <a:t>[2] https://doi.org/10.1016/j.msea.2011.08.061</a:t>
              </a:r>
              <a:endParaRPr lang="en-US" sz="1100" b="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69334CE-D71B-4EDD-8687-0DA4BCE98818}"/>
                </a:ext>
              </a:extLst>
            </xdr:cNvPr>
            <xdr:cNvSpPr txBox="1"/>
          </xdr:nvSpPr>
          <xdr:spPr>
            <a:xfrm>
              <a:off x="3248025" y="1838324"/>
              <a:ext cx="2914650" cy="2219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/>
                <a:t>Equations</a:t>
              </a:r>
              <a:endParaRPr lang="en-US" sz="1100" b="0"/>
            </a:p>
            <a:p>
              <a:r>
                <a:rPr lang="en-US" sz="1600" b="0" i="0">
                  <a:latin typeface="Cambria Math" panose="02040503050406030204" pitchFamily="18" charset="0"/>
                </a:rPr>
                <a:t>𝐸_𝑡=(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σ_</a:t>
              </a:r>
              <a:r>
                <a:rPr lang="en-US" sz="1600" b="0" i="0">
                  <a:latin typeface="Cambria Math" panose="02040503050406030204" pitchFamily="18" charset="0"/>
                </a:rPr>
                <a:t>𝑢−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σ_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𝑦)/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ε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 </a:t>
              </a:r>
              <a:r>
                <a:rPr lang="en-US" sz="1100" b="0" i="0"/>
                <a:t>, (1)</a:t>
              </a:r>
            </a:p>
            <a:p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sz="1600" b="0" i="0">
                  <a:latin typeface="Cambria Math" panose="02040503050406030204" pitchFamily="18" charset="0"/>
                </a:rPr>
                <a:t>𝑢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≅</a:t>
              </a:r>
              <a:r>
                <a:rPr lang="en-US" sz="1600" b="0" i="0">
                  <a:latin typeface="Cambria Math" panose="02040503050406030204" pitchFamily="18" charset="0"/>
                </a:rPr>
                <a:t>𝐻_𝑣/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𝜉</a:t>
              </a:r>
              <a:r>
                <a:rPr lang="en-US" sz="1100" b="0" i="0"/>
                <a:t>, (2).</a:t>
              </a:r>
              <a:r>
                <a:rPr lang="en-US" sz="1100" b="0" i="0" baseline="0"/>
                <a:t> Where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𝜉</a:t>
              </a:r>
              <a:r>
                <a:rPr lang="en-US" sz="1100" b="0" i="0"/>
                <a:t> is a coefficent</a:t>
              </a:r>
              <a:r>
                <a:rPr lang="en-US" sz="1100" b="0" i="0" baseline="0"/>
                <a:t> between 50-100 for ceramics [1,2].</a:t>
              </a:r>
            </a:p>
            <a:p>
              <a:endParaRPr lang="en-US" sz="1100" b="0" i="0" baseline="0"/>
            </a:p>
            <a:p>
              <a:r>
                <a:rPr lang="en-US" sz="1100" b="0" i="0" baseline="0"/>
                <a:t>References:</a:t>
              </a:r>
            </a:p>
            <a:p>
              <a:r>
                <a:rPr lang="en-US" sz="1100" b="0" i="0" baseline="0"/>
                <a:t>[1] https://doi.org/10.1016/S1365-1609(02)00032-1</a:t>
              </a:r>
            </a:p>
            <a:p>
              <a:r>
                <a:rPr lang="en-US" sz="1100" b="0" i="0" baseline="0"/>
                <a:t>[2] https://doi.org/10.1016/j.msea.2011.08.061</a:t>
              </a:r>
              <a:endParaRPr lang="en-US" sz="1100" b="0" i="0"/>
            </a:p>
          </xdr:txBody>
        </xdr:sp>
      </mc:Fallback>
    </mc:AlternateContent>
    <xdr:clientData/>
  </xdr:twoCellAnchor>
  <xdr:twoCellAnchor>
    <xdr:from>
      <xdr:col>12</xdr:col>
      <xdr:colOff>47625</xdr:colOff>
      <xdr:row>3</xdr:row>
      <xdr:rowOff>95250</xdr:rowOff>
    </xdr:from>
    <xdr:to>
      <xdr:col>13</xdr:col>
      <xdr:colOff>314325</xdr:colOff>
      <xdr:row>3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7A9A96B-3DBE-BA9D-923A-7F1989332A0C}"/>
            </a:ext>
          </a:extLst>
        </xdr:cNvPr>
        <xdr:cNvCxnSpPr/>
      </xdr:nvCxnSpPr>
      <xdr:spPr>
        <a:xfrm flipH="1">
          <a:off x="9067800" y="638175"/>
          <a:ext cx="914400" cy="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95250</xdr:colOff>
      <xdr:row>3</xdr:row>
      <xdr:rowOff>47625</xdr:rowOff>
    </xdr:from>
    <xdr:to>
      <xdr:col>21</xdr:col>
      <xdr:colOff>161926</xdr:colOff>
      <xdr:row>12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DE13F7D-0A20-5E23-2B67-43717DDEE074}"/>
            </a:ext>
          </a:extLst>
        </xdr:cNvPr>
        <xdr:cNvSpPr txBox="1"/>
      </xdr:nvSpPr>
      <xdr:spPr>
        <a:xfrm>
          <a:off x="12353925" y="590550"/>
          <a:ext cx="2657476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Note:</a:t>
          </a:r>
        </a:p>
        <a:p>
          <a:r>
            <a:rPr lang="en-US" sz="1100"/>
            <a:t>Assumptions</a:t>
          </a:r>
          <a:r>
            <a:rPr lang="en-US" sz="1100" baseline="0"/>
            <a:t> for SE are extracted from experimental compression testing. For CAM assume no yielding.</a:t>
          </a:r>
        </a:p>
        <a:p>
          <a:endParaRPr lang="en-US" sz="1100" baseline="0"/>
        </a:p>
        <a:p>
          <a:r>
            <a:rPr lang="en-US" sz="1100" baseline="0"/>
            <a:t>See original publication for more details [3]</a:t>
          </a:r>
        </a:p>
        <a:p>
          <a:endParaRPr lang="en-US" sz="1100" baseline="0"/>
        </a:p>
        <a:p>
          <a:r>
            <a:rPr lang="en-US" sz="1100" baseline="0"/>
            <a:t>References:</a:t>
          </a:r>
        </a:p>
        <a:p>
          <a:r>
            <a:rPr lang="en-US" sz="1100" baseline="0"/>
            <a:t>[3]https://pubs.acs.org/doi/full/10.1021/acsaem.3c01681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595A7B-6D8D-4278-9D4A-2B49580B2309}" name="Table1914" displayName="Table1914" ref="A1:B2" totalsRowShown="0" headerRowDxfId="21" dataDxfId="20">
  <autoFilter ref="A1:B2" xr:uid="{8844E3DE-5F0D-484E-8E1C-662A47ACB88C}"/>
  <tableColumns count="2">
    <tableColumn id="1" xr3:uid="{6A38C704-46B8-424A-B8C5-051AF34E0F8E}" name="CAM" dataDxfId="19"/>
    <tableColumn id="2" xr3:uid="{05FC6AE9-781A-4372-B197-819236455089}" name="SE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42CA25-D269-4EA4-9B11-78F128D3668F}" name="Table51015" displayName="Table51015" ref="F2:H5" totalsRowShown="0">
  <autoFilter ref="F2:H5" xr:uid="{59CEE666-F044-4E34-8AFA-0DBCE2401825}"/>
  <tableColumns count="3">
    <tableColumn id="1" xr3:uid="{B075208F-4B6C-442C-9D48-EBDDC9868E30}" name="Property"/>
    <tableColumn id="2" xr3:uid="{9BDAD035-8670-4DEB-9675-22900C8DA8E2}" name="CAM" dataDxfId="17"/>
    <tableColumn id="3" xr3:uid="{7C800963-18E0-438D-B553-81FB5E59F171}" name="SE" data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A4EA87-1192-4F2C-8761-3B91C5C14A92}" name="Table61116" displayName="Table61116" ref="J2:L5" totalsRowShown="0">
  <autoFilter ref="J2:L5" xr:uid="{0BEB6ED3-8369-4E10-B0F4-583EE88A0695}"/>
  <tableColumns count="3">
    <tableColumn id="1" xr3:uid="{BDF9BA5B-BFB4-48EB-AE8D-85069529C987}" name="Assumptions"/>
    <tableColumn id="2" xr3:uid="{205603BE-6F5E-4FFC-AE6D-C6461ACBBD22}" name="CAM" dataDxfId="15"/>
    <tableColumn id="3" xr3:uid="{210F86F0-EBA1-43A3-B561-84E21E30AC30}" name="SE" dataDxfId="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AED6F46-839D-4B8E-8169-5867F6419EE3}" name="Table71217" displayName="Table71217" ref="J8:L10" totalsRowShown="0">
  <autoFilter ref="J8:L10" xr:uid="{0B6D1A7E-1E95-49B9-A382-13C26235514A}"/>
  <tableColumns count="3">
    <tableColumn id="1" xr3:uid="{5286C6B4-BA4E-4A85-909E-BDE4E6640FFC}" name="Calculation" dataDxfId="13"/>
    <tableColumn id="2" xr3:uid="{4D7DD2EF-E2DA-41E3-9B0F-3BD656A0F045}" name="CAM" dataDxfId="12">
      <calculatedColumnFormula>-1*($K$5*1000*$K$4-$K$9)</calculatedColumnFormula>
    </tableColumn>
    <tableColumn id="3" xr3:uid="{7A6F2199-C880-4060-B38B-C5D44F26D264}" name="SE" dataDxfId="11">
      <calculatedColumnFormula>-1*($L$5*1000*$L$4-$L$9)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C3DA76-8379-4A5A-BA71-3EB961EDC582}" name="Table19" displayName="Table19" ref="A1:B2" totalsRowShown="0" headerRowDxfId="10" dataDxfId="9">
  <autoFilter ref="A1:B2" xr:uid="{8844E3DE-5F0D-484E-8E1C-662A47ACB88C}"/>
  <tableColumns count="2">
    <tableColumn id="1" xr3:uid="{5361B7FB-BE73-4352-9323-CFD6089E9B64}" name="CAM" dataDxfId="8"/>
    <tableColumn id="2" xr3:uid="{9330186A-888A-41E9-B660-3531693799A5}" name="SE" dataDxfId="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363A60-D868-4B5B-91A1-7FDFD2765E3B}" name="Table510" displayName="Table510" ref="F2:H5" totalsRowShown="0">
  <autoFilter ref="F2:H5" xr:uid="{59CEE666-F044-4E34-8AFA-0DBCE2401825}"/>
  <tableColumns count="3">
    <tableColumn id="1" xr3:uid="{023914EF-5A59-469E-96F1-89D461986350}" name="Property"/>
    <tableColumn id="2" xr3:uid="{E56E6789-1F26-47E4-AD76-41241010EA52}" name="CAM" dataDxfId="6"/>
    <tableColumn id="3" xr3:uid="{FA7CA951-6FEE-4FF2-A04E-B41618944C92}" name="SE" dataDxfId="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612834C-7545-4C0F-94EF-048F19DC187C}" name="Table611" displayName="Table611" ref="J2:L5" totalsRowShown="0">
  <autoFilter ref="J2:L5" xr:uid="{0BEB6ED3-8369-4E10-B0F4-583EE88A0695}"/>
  <tableColumns count="3">
    <tableColumn id="1" xr3:uid="{D5B0E63B-4EDC-4522-BFDA-1254784358C1}" name="Assumptions"/>
    <tableColumn id="2" xr3:uid="{FDED3339-04CC-4542-9C1B-300B4C938B6D}" name="CAM" dataDxfId="4"/>
    <tableColumn id="3" xr3:uid="{B2A72288-9BAA-48ED-A55D-94ADF506F5EA}" name="SE" dataDxfId="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FCB56D-2C7B-4CE4-AF59-23820ED5B7AA}" name="Table712" displayName="Table712" ref="J8:L10" totalsRowShown="0">
  <autoFilter ref="J8:L10" xr:uid="{0B6D1A7E-1E95-49B9-A382-13C26235514A}"/>
  <tableColumns count="3">
    <tableColumn id="1" xr3:uid="{D9F930DC-6197-4CE0-AE58-2206E6BD4BBF}" name="Calculation" dataDxfId="2"/>
    <tableColumn id="2" xr3:uid="{02AD66A9-A190-4942-9B26-ABDE2AC62801}" name="CAM" dataDxfId="1">
      <calculatedColumnFormula>-1*($K$5*1000*$K$4-$K$9)</calculatedColumnFormula>
    </tableColumn>
    <tableColumn id="3" xr3:uid="{A2FC3BD9-2E7B-49C2-9CC7-93932A03945E}" name="SE" dataDxfId="0">
      <calculatedColumnFormula>-1*($L$5*1000*$L$4-$L$9)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F0C1-32CE-49DA-AA19-31B11F0445DE}">
  <dimension ref="A1:S29"/>
  <sheetViews>
    <sheetView tabSelected="1" workbookViewId="0">
      <selection activeCell="P28" sqref="P28"/>
    </sheetView>
  </sheetViews>
  <sheetFormatPr defaultRowHeight="14.25"/>
  <cols>
    <col min="6" max="6" width="22.125" customWidth="1"/>
    <col min="10" max="10" width="13.5" customWidth="1"/>
    <col min="14" max="14" width="15.375" customWidth="1"/>
    <col min="15" max="15" width="21.5" customWidth="1"/>
    <col min="16" max="16" width="20.375" customWidth="1"/>
    <col min="17" max="17" width="17.875" customWidth="1"/>
    <col min="18" max="18" width="15" customWidth="1"/>
    <col min="19" max="19" width="22.75" customWidth="1"/>
    <col min="20" max="20" width="15.25" customWidth="1"/>
    <col min="22" max="22" width="9.625" customWidth="1"/>
    <col min="23" max="23" width="17" customWidth="1"/>
    <col min="24" max="24" width="25.25" customWidth="1"/>
    <col min="25" max="25" width="16.125" customWidth="1"/>
  </cols>
  <sheetData>
    <row r="1" spans="1:19">
      <c r="A1" s="1" t="s">
        <v>0</v>
      </c>
      <c r="B1" s="1" t="s">
        <v>1</v>
      </c>
    </row>
    <row r="2" spans="1:19">
      <c r="A2" s="7" t="s">
        <v>30</v>
      </c>
      <c r="B2" s="7" t="s">
        <v>31</v>
      </c>
      <c r="F2" t="s">
        <v>2</v>
      </c>
      <c r="G2" s="1" t="s">
        <v>0</v>
      </c>
      <c r="H2" s="1" t="s">
        <v>1</v>
      </c>
      <c r="J2" t="s">
        <v>6</v>
      </c>
      <c r="K2" s="1" t="s">
        <v>0</v>
      </c>
      <c r="L2" s="1" t="s">
        <v>1</v>
      </c>
      <c r="O2" t="s">
        <v>35</v>
      </c>
      <c r="P2" s="10">
        <v>0.4</v>
      </c>
      <c r="R2" t="s">
        <v>38</v>
      </c>
      <c r="S2" t="s">
        <v>39</v>
      </c>
    </row>
    <row r="3" spans="1:19">
      <c r="F3" t="s">
        <v>20</v>
      </c>
      <c r="G3" s="7">
        <v>1</v>
      </c>
      <c r="H3" s="7">
        <v>1</v>
      </c>
      <c r="J3" s="2" t="s">
        <v>7</v>
      </c>
      <c r="K3" s="1">
        <v>1</v>
      </c>
      <c r="L3" s="1">
        <v>50</v>
      </c>
      <c r="O3" t="s">
        <v>36</v>
      </c>
      <c r="P3" s="10">
        <v>0.4</v>
      </c>
    </row>
    <row r="4" spans="1:19" ht="17.25">
      <c r="F4" t="s">
        <v>4</v>
      </c>
      <c r="G4" s="7">
        <v>1</v>
      </c>
      <c r="H4" s="7">
        <v>1</v>
      </c>
      <c r="J4" t="s">
        <v>8</v>
      </c>
      <c r="K4" s="1">
        <v>0</v>
      </c>
      <c r="L4" s="1">
        <v>4.0000000000000001E-3</v>
      </c>
      <c r="O4" t="s">
        <v>37</v>
      </c>
      <c r="P4" s="10">
        <v>0.2</v>
      </c>
    </row>
    <row r="5" spans="1:19" ht="17.25">
      <c r="F5" t="s">
        <v>21</v>
      </c>
      <c r="G5" s="7">
        <v>1</v>
      </c>
      <c r="H5" s="7">
        <v>1</v>
      </c>
      <c r="J5" t="s">
        <v>11</v>
      </c>
      <c r="K5" s="1">
        <v>0</v>
      </c>
      <c r="L5" s="1">
        <v>1</v>
      </c>
    </row>
    <row r="7" spans="1:19">
      <c r="F7" s="4" t="s">
        <v>15</v>
      </c>
      <c r="G7" s="8">
        <v>4</v>
      </c>
      <c r="N7" t="s">
        <v>22</v>
      </c>
    </row>
    <row r="8" spans="1:19">
      <c r="F8" s="4" t="s">
        <v>16</v>
      </c>
      <c r="G8" s="9" t="s">
        <v>19</v>
      </c>
      <c r="J8" t="s">
        <v>9</v>
      </c>
      <c r="K8" s="1" t="s">
        <v>0</v>
      </c>
      <c r="L8" s="1" t="s">
        <v>1</v>
      </c>
      <c r="O8" t="s">
        <v>29</v>
      </c>
      <c r="P8" t="s">
        <v>28</v>
      </c>
      <c r="Q8" t="s">
        <v>27</v>
      </c>
    </row>
    <row r="9" spans="1:19" ht="17.25">
      <c r="F9" s="4" t="s">
        <v>18</v>
      </c>
      <c r="G9" s="8">
        <v>10</v>
      </c>
      <c r="J9" s="3" t="s">
        <v>10</v>
      </c>
      <c r="K9" s="1">
        <f>$G$5*1000/$K$3</f>
        <v>1000</v>
      </c>
      <c r="L9" s="1">
        <f>$H$5*1000/$L$3</f>
        <v>20</v>
      </c>
      <c r="N9" t="s">
        <v>24</v>
      </c>
      <c r="O9">
        <v>2.9969999999999999</v>
      </c>
      <c r="P9">
        <v>110.9</v>
      </c>
      <c r="Q9">
        <v>0.3</v>
      </c>
    </row>
    <row r="10" spans="1:19" ht="17.25">
      <c r="J10" s="3" t="s">
        <v>12</v>
      </c>
      <c r="K10" s="1">
        <f>-1*($K$5*1000*$K$4-$K$9)</f>
        <v>1000</v>
      </c>
      <c r="L10" s="1">
        <f>-1*($L$5*1000*$L$4-$L$9)</f>
        <v>16</v>
      </c>
      <c r="N10" t="s">
        <v>25</v>
      </c>
      <c r="O10">
        <v>4.43</v>
      </c>
      <c r="P10">
        <v>127.3</v>
      </c>
      <c r="Q10">
        <v>0.3</v>
      </c>
    </row>
    <row r="11" spans="1:19">
      <c r="N11" t="s">
        <v>26</v>
      </c>
      <c r="O11">
        <v>5.2149999999999999</v>
      </c>
      <c r="P11">
        <v>141.19999999999999</v>
      </c>
      <c r="Q11">
        <v>0.3</v>
      </c>
    </row>
    <row r="13" spans="1:19">
      <c r="N13" t="s">
        <v>23</v>
      </c>
    </row>
    <row r="14" spans="1:19">
      <c r="O14" t="s">
        <v>29</v>
      </c>
      <c r="P14" t="s">
        <v>28</v>
      </c>
      <c r="Q14" t="s">
        <v>27</v>
      </c>
    </row>
    <row r="15" spans="1:19">
      <c r="N15" t="s">
        <v>24</v>
      </c>
      <c r="O15">
        <v>30.49</v>
      </c>
      <c r="P15">
        <v>342.1</v>
      </c>
      <c r="Q15">
        <v>0.3</v>
      </c>
    </row>
    <row r="16" spans="1:19">
      <c r="N16" t="s">
        <v>25</v>
      </c>
      <c r="O16">
        <v>23.13</v>
      </c>
      <c r="P16">
        <v>281.60000000000002</v>
      </c>
      <c r="Q16">
        <v>0.3</v>
      </c>
    </row>
    <row r="17" spans="14:17">
      <c r="N17" t="s">
        <v>26</v>
      </c>
      <c r="O17">
        <v>22.3</v>
      </c>
      <c r="P17">
        <v>285</v>
      </c>
      <c r="Q17">
        <v>0.3</v>
      </c>
    </row>
    <row r="21" spans="14:17">
      <c r="O21" t="s">
        <v>33</v>
      </c>
      <c r="P21" t="s">
        <v>34</v>
      </c>
      <c r="Q21" t="s">
        <v>27</v>
      </c>
    </row>
    <row r="22" spans="14:17">
      <c r="N22" t="s">
        <v>32</v>
      </c>
      <c r="O22">
        <v>4.5</v>
      </c>
      <c r="P22">
        <v>90</v>
      </c>
      <c r="Q22">
        <v>0.26</v>
      </c>
    </row>
    <row r="29" spans="14:17">
      <c r="N29" t="s">
        <v>40</v>
      </c>
    </row>
  </sheetData>
  <phoneticPr fontId="9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502B-077A-4ED6-99D4-387ED05766A9}">
  <dimension ref="A1:L10"/>
  <sheetViews>
    <sheetView workbookViewId="0">
      <selection activeCell="K18" sqref="K18"/>
    </sheetView>
  </sheetViews>
  <sheetFormatPr defaultRowHeight="14.25"/>
  <cols>
    <col min="6" max="6" width="22.125" customWidth="1"/>
    <col min="10" max="10" width="13.5" customWidth="1"/>
  </cols>
  <sheetData>
    <row r="1" spans="1:12">
      <c r="A1" s="1" t="s">
        <v>0</v>
      </c>
      <c r="B1" s="1" t="s">
        <v>1</v>
      </c>
    </row>
    <row r="2" spans="1:12">
      <c r="A2" s="1" t="s">
        <v>13</v>
      </c>
      <c r="B2" s="1" t="s">
        <v>14</v>
      </c>
      <c r="F2" t="s">
        <v>2</v>
      </c>
      <c r="G2" s="1" t="s">
        <v>0</v>
      </c>
      <c r="H2" s="1" t="s">
        <v>1</v>
      </c>
      <c r="J2" t="s">
        <v>6</v>
      </c>
      <c r="K2" s="1" t="s">
        <v>0</v>
      </c>
      <c r="L2" s="1" t="s">
        <v>1</v>
      </c>
    </row>
    <row r="3" spans="1:12">
      <c r="F3" t="s">
        <v>3</v>
      </c>
      <c r="G3" s="1">
        <v>177.5</v>
      </c>
      <c r="H3" s="1">
        <v>18.5</v>
      </c>
      <c r="J3" s="2" t="s">
        <v>7</v>
      </c>
      <c r="K3" s="1">
        <v>1</v>
      </c>
      <c r="L3" s="1">
        <v>50</v>
      </c>
    </row>
    <row r="4" spans="1:12" ht="17.25">
      <c r="F4" t="s">
        <v>4</v>
      </c>
      <c r="G4" s="1">
        <v>0.33</v>
      </c>
      <c r="H4" s="1">
        <v>0.23</v>
      </c>
      <c r="J4" t="s">
        <v>8</v>
      </c>
      <c r="K4" s="1">
        <v>0</v>
      </c>
      <c r="L4" s="1">
        <v>4.0000000000000001E-3</v>
      </c>
    </row>
    <row r="5" spans="1:12" ht="17.25">
      <c r="F5" t="s">
        <v>5</v>
      </c>
      <c r="G5" s="1">
        <v>12.6</v>
      </c>
      <c r="H5" s="1">
        <v>1.2</v>
      </c>
      <c r="J5" t="s">
        <v>11</v>
      </c>
      <c r="K5" s="1">
        <v>0</v>
      </c>
      <c r="L5" s="1">
        <v>1</v>
      </c>
    </row>
    <row r="7" spans="1:12">
      <c r="F7" s="4" t="s">
        <v>15</v>
      </c>
      <c r="G7" s="5">
        <v>8.1</v>
      </c>
    </row>
    <row r="8" spans="1:12">
      <c r="F8" s="4" t="s">
        <v>16</v>
      </c>
      <c r="G8" s="6" t="s">
        <v>17</v>
      </c>
      <c r="J8" t="s">
        <v>9</v>
      </c>
      <c r="K8" s="1" t="s">
        <v>0</v>
      </c>
      <c r="L8" s="1" t="s">
        <v>1</v>
      </c>
    </row>
    <row r="9" spans="1:12" ht="17.25">
      <c r="F9" s="4" t="s">
        <v>18</v>
      </c>
      <c r="G9" s="5">
        <v>7</v>
      </c>
      <c r="J9" s="3" t="s">
        <v>10</v>
      </c>
      <c r="K9" s="1">
        <f>$G$5*1000/$K$3</f>
        <v>12600</v>
      </c>
      <c r="L9" s="1">
        <f>$H$5*1000/$L$3</f>
        <v>24</v>
      </c>
    </row>
    <row r="10" spans="1:12" ht="17.25">
      <c r="J10" s="3" t="s">
        <v>12</v>
      </c>
      <c r="K10" s="1">
        <f>-1*($K$5*1000*$K$4-$K$9)</f>
        <v>12600</v>
      </c>
      <c r="L10" s="1">
        <f>-1*($L$5*1000*$L$4-$L$9)</f>
        <v>20</v>
      </c>
    </row>
  </sheetData>
  <phoneticPr fontId="9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Western_NEW</vt:lpstr>
      <vt:lpstr>RIT_Original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Vazquez</dc:creator>
  <cp:lastModifiedBy>Yi Gan</cp:lastModifiedBy>
  <dcterms:created xsi:type="dcterms:W3CDTF">2015-06-05T18:17:20Z</dcterms:created>
  <dcterms:modified xsi:type="dcterms:W3CDTF">2026-05-07T22:03:10Z</dcterms:modified>
</cp:coreProperties>
</file>