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ofh-my.sharepoint.com/personal/lzhao26_cougarnet_uh_edu/Documents/Proposal/DARPA Promethean Clay 2026/"/>
    </mc:Choice>
  </mc:AlternateContent>
  <xr:revisionPtr revIDLastSave="7" documentId="6_{43074074-7FF4-41D6-AE0E-4CEB85FAAAA7}" xr6:coauthVersionLast="47" xr6:coauthVersionMax="47" xr10:uidLastSave="{E136A291-8DA8-451F-A4C2-72A9F26E9639}"/>
  <bookViews>
    <workbookView xWindow="25020" yWindow="270" windowWidth="22635" windowHeight="19995" xr2:uid="{00000000-000D-0000-FFFF-FFFF00000000}"/>
  </bookViews>
  <sheets>
    <sheet name="Phase 1" sheetId="11" r:id="rId1"/>
    <sheet name="Phase 2" sheetId="10" r:id="rId2"/>
    <sheet name="Phase 3" sheetId="8" r:id="rId3"/>
    <sheet name="Sheet1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8" i="11" l="1"/>
  <c r="I9" i="11" s="1"/>
  <c r="G7" i="9"/>
  <c r="G4" i="9"/>
  <c r="B60" i="11"/>
  <c r="B11" i="11" s="1"/>
  <c r="B12" i="11" s="1"/>
  <c r="B42" i="11"/>
  <c r="B41" i="11"/>
  <c r="C31" i="11"/>
  <c r="C30" i="11"/>
  <c r="B36" i="11" s="1"/>
  <c r="L15" i="11"/>
  <c r="N19" i="11" s="1"/>
  <c r="I12" i="11"/>
  <c r="G12" i="11"/>
  <c r="I11" i="11"/>
  <c r="I10" i="11"/>
  <c r="G10" i="11"/>
  <c r="G8" i="11"/>
  <c r="B8" i="11"/>
  <c r="G19" i="11" s="1"/>
  <c r="B60" i="8"/>
  <c r="B42" i="8"/>
  <c r="B41" i="8"/>
  <c r="C31" i="8"/>
  <c r="C30" i="8"/>
  <c r="B36" i="8" s="1"/>
  <c r="N18" i="8"/>
  <c r="L15" i="8"/>
  <c r="N19" i="8" s="1"/>
  <c r="I12" i="8"/>
  <c r="G12" i="8"/>
  <c r="B12" i="8"/>
  <c r="G18" i="8" s="1"/>
  <c r="I11" i="8"/>
  <c r="G11" i="8"/>
  <c r="B11" i="8"/>
  <c r="I10" i="8"/>
  <c r="G10" i="8"/>
  <c r="G8" i="8"/>
  <c r="B8" i="8"/>
  <c r="G19" i="8" s="1"/>
  <c r="B42" i="10"/>
  <c r="J4" i="9"/>
  <c r="B60" i="10"/>
  <c r="B43" i="10"/>
  <c r="G13" i="10" s="1"/>
  <c r="B41" i="10"/>
  <c r="B36" i="10"/>
  <c r="C31" i="10"/>
  <c r="C30" i="10"/>
  <c r="L15" i="10"/>
  <c r="N19" i="10" s="1"/>
  <c r="I12" i="10"/>
  <c r="G12" i="10"/>
  <c r="B12" i="10"/>
  <c r="I8" i="10" s="1"/>
  <c r="I11" i="10"/>
  <c r="G11" i="10"/>
  <c r="B11" i="10"/>
  <c r="I10" i="10"/>
  <c r="G10" i="10"/>
  <c r="G8" i="10"/>
  <c r="B8" i="10"/>
  <c r="G19" i="10" s="1"/>
  <c r="B21" i="11" l="1"/>
  <c r="G11" i="11"/>
  <c r="B43" i="11"/>
  <c r="G13" i="11" s="1"/>
  <c r="G18" i="11"/>
  <c r="G21" i="11" s="1"/>
  <c r="I8" i="11"/>
  <c r="G9" i="11"/>
  <c r="N18" i="11"/>
  <c r="N20" i="11"/>
  <c r="B43" i="8"/>
  <c r="G13" i="8" s="1"/>
  <c r="G21" i="8"/>
  <c r="I8" i="8"/>
  <c r="N20" i="8"/>
  <c r="B18" i="8"/>
  <c r="B18" i="10"/>
  <c r="I9" i="10" s="1"/>
  <c r="I14" i="10" s="1"/>
  <c r="J9" i="10" s="1"/>
  <c r="G18" i="10"/>
  <c r="G21" i="10" s="1"/>
  <c r="N18" i="10"/>
  <c r="N20" i="10"/>
  <c r="G14" i="11" l="1"/>
  <c r="H13" i="11" s="1"/>
  <c r="I14" i="11"/>
  <c r="I9" i="8"/>
  <c r="I14" i="8" s="1"/>
  <c r="G9" i="8"/>
  <c r="G14" i="8" s="1"/>
  <c r="B21" i="8"/>
  <c r="G9" i="10"/>
  <c r="G14" i="10" s="1"/>
  <c r="H13" i="10" s="1"/>
  <c r="B21" i="10"/>
  <c r="J8" i="10"/>
  <c r="J10" i="10"/>
  <c r="J12" i="10"/>
  <c r="J11" i="10"/>
  <c r="H11" i="11" l="1"/>
  <c r="H12" i="11"/>
  <c r="H9" i="11"/>
  <c r="H8" i="11"/>
  <c r="G17" i="11" s="1"/>
  <c r="H10" i="11"/>
  <c r="J10" i="11"/>
  <c r="J11" i="11"/>
  <c r="J9" i="11"/>
  <c r="J12" i="11"/>
  <c r="J8" i="11"/>
  <c r="J12" i="8"/>
  <c r="J10" i="8"/>
  <c r="J11" i="8"/>
  <c r="H10" i="8"/>
  <c r="H12" i="8"/>
  <c r="H8" i="8"/>
  <c r="H11" i="8"/>
  <c r="J8" i="8"/>
  <c r="H13" i="8"/>
  <c r="H9" i="8"/>
  <c r="J9" i="8"/>
  <c r="H12" i="10"/>
  <c r="H9" i="10"/>
  <c r="H8" i="10"/>
  <c r="G17" i="10" s="1"/>
  <c r="H10" i="10"/>
  <c r="H11" i="10"/>
  <c r="F36" i="10" s="1"/>
  <c r="F34" i="11" l="1"/>
  <c r="F36" i="11"/>
  <c r="I36" i="11" s="1"/>
  <c r="F29" i="11"/>
  <c r="H36" i="11" s="1"/>
  <c r="F31" i="11"/>
  <c r="G20" i="11"/>
  <c r="G22" i="11" s="1"/>
  <c r="F36" i="8"/>
  <c r="F34" i="8"/>
  <c r="G17" i="8"/>
  <c r="F34" i="10"/>
  <c r="F29" i="10"/>
  <c r="G20" i="10"/>
  <c r="G22" i="10" s="1"/>
  <c r="F31" i="10"/>
  <c r="F29" i="8" l="1"/>
  <c r="F31" i="8"/>
  <c r="G20" i="8"/>
  <c r="G22" i="8" s="1"/>
</calcChain>
</file>

<file path=xl/sharedStrings.xml><?xml version="1.0" encoding="utf-8"?>
<sst xmlns="http://schemas.openxmlformats.org/spreadsheetml/2006/main" count="382" uniqueCount="89">
  <si>
    <t>Input Component Properties</t>
  </si>
  <si>
    <t>Critical material properties are entered in the yellow boxes. These values can change with changes in cell design or active materials.</t>
  </si>
  <si>
    <t>The mass contribution of each stack component can be estimated along with volume, specific energy, and energy density.</t>
  </si>
  <si>
    <t>Mass (mg/cm^2)</t>
  </si>
  <si>
    <t>Thickness</t>
  </si>
  <si>
    <t>Cathode</t>
  </si>
  <si>
    <t>%</t>
  </si>
  <si>
    <t>μm</t>
  </si>
  <si>
    <t>Specific capacity</t>
  </si>
  <si>
    <t>mAh/g</t>
  </si>
  <si>
    <t>V</t>
  </si>
  <si>
    <t>Anode</t>
  </si>
  <si>
    <t>Loading</t>
  </si>
  <si>
    <r>
      <t>mg/cm</t>
    </r>
    <r>
      <rPr>
        <vertAlign val="superscript"/>
        <sz val="10"/>
        <rFont val="Arial"/>
        <family val="2"/>
      </rPr>
      <t>2</t>
    </r>
  </si>
  <si>
    <t>Separator</t>
  </si>
  <si>
    <t>Density</t>
  </si>
  <si>
    <r>
      <t>g/cm</t>
    </r>
    <r>
      <rPr>
        <vertAlign val="superscript"/>
        <sz val="10"/>
        <rFont val="Arial"/>
        <family val="2"/>
      </rPr>
      <t>3</t>
    </r>
  </si>
  <si>
    <t>Total</t>
  </si>
  <si>
    <t>Maximum Performance</t>
  </si>
  <si>
    <t>Stack Specific Energy</t>
  </si>
  <si>
    <t>Wh/kg</t>
  </si>
  <si>
    <t>Stack Thickness</t>
  </si>
  <si>
    <t>Capacity per Area</t>
  </si>
  <si>
    <r>
      <t>mAh/cm</t>
    </r>
    <r>
      <rPr>
        <vertAlign val="superscript"/>
        <sz val="10"/>
        <rFont val="Arial"/>
        <family val="2"/>
      </rPr>
      <t>2</t>
    </r>
  </si>
  <si>
    <t>Energy Density</t>
  </si>
  <si>
    <t>Wh/L</t>
  </si>
  <si>
    <t>Capacity per Volume</t>
  </si>
  <si>
    <r>
      <t>mAh/cm</t>
    </r>
    <r>
      <rPr>
        <vertAlign val="superscript"/>
        <sz val="10"/>
        <rFont val="Arial"/>
        <family val="2"/>
      </rPr>
      <t>3</t>
    </r>
  </si>
  <si>
    <t>Current Collectors</t>
  </si>
  <si>
    <t>Thick (μm)</t>
  </si>
  <si>
    <t>Inputs</t>
  </si>
  <si>
    <t>Outputs</t>
  </si>
  <si>
    <t>Packaging</t>
  </si>
  <si>
    <t>Cell Performance</t>
  </si>
  <si>
    <t>Single-Layer Stack Performance</t>
  </si>
  <si>
    <t xml:space="preserve">These values represent stack performance and do not include cell packaging, tabs, void space, etc. </t>
  </si>
  <si>
    <t>Cell Properties</t>
  </si>
  <si>
    <t xml:space="preserve"> Cell Properties Calculator</t>
  </si>
  <si>
    <t>Cell design parameters allow for the calculation of projected cell properties and cell performance. This portion of the calculator will be completed once materials are defined.</t>
  </si>
  <si>
    <t>Final calculations will include all cell components.</t>
  </si>
  <si>
    <t>Cath. Curr. Collector</t>
  </si>
  <si>
    <t>Anode Curr. Collector</t>
  </si>
  <si>
    <t>Ave voltage vs. Li</t>
  </si>
  <si>
    <t>Diameter</t>
  </si>
  <si>
    <t>Area</t>
  </si>
  <si>
    <t>mg/cm2</t>
  </si>
  <si>
    <t>cathode mass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</si>
  <si>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</si>
  <si>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Cathode Material</t>
  </si>
  <si>
    <t>Theoretical Capacity</t>
  </si>
  <si>
    <t>Active material fraction</t>
  </si>
  <si>
    <t>Utilization</t>
  </si>
  <si>
    <t>Carbon Black fraction</t>
  </si>
  <si>
    <t>Electrode density</t>
  </si>
  <si>
    <t>Active material density</t>
  </si>
  <si>
    <t>Carbon black density</t>
  </si>
  <si>
    <t>Binder fraction</t>
  </si>
  <si>
    <t>Binder density</t>
  </si>
  <si>
    <t>Composite cathode</t>
  </si>
  <si>
    <t>Lead</t>
  </si>
  <si>
    <t>Tab</t>
  </si>
  <si>
    <t>g</t>
  </si>
  <si>
    <t>Cell stack width</t>
  </si>
  <si>
    <t>Cell stack length</t>
  </si>
  <si>
    <t>cm</t>
  </si>
  <si>
    <t>Packaging area</t>
  </si>
  <si>
    <r>
      <t>cm</t>
    </r>
    <r>
      <rPr>
        <vertAlign val="superscript"/>
        <sz val="10"/>
        <rFont val="Arial"/>
        <family val="2"/>
      </rPr>
      <t>2</t>
    </r>
  </si>
  <si>
    <t>Packaging mass</t>
  </si>
  <si>
    <t>Cell stack area</t>
  </si>
  <si>
    <t>Stack number</t>
  </si>
  <si>
    <t>Excess anode capacity</t>
  </si>
  <si>
    <t>Electrolyte</t>
  </si>
  <si>
    <t>CC</t>
  </si>
  <si>
    <t>Pouch</t>
  </si>
  <si>
    <t>Required</t>
  </si>
  <si>
    <t>Designed</t>
  </si>
  <si>
    <t>Electrolyte density</t>
  </si>
  <si>
    <t>Electrolyte fraction</t>
  </si>
  <si>
    <t>N/P</t>
  </si>
  <si>
    <t>Composite cathode loading</t>
  </si>
  <si>
    <t>Cell-level Wh/kg considering packaging</t>
  </si>
  <si>
    <t>Porous Al</t>
  </si>
  <si>
    <t>Porous Copper</t>
  </si>
  <si>
    <t>Surface coating density</t>
  </si>
  <si>
    <t>Surface coating thickness</t>
  </si>
  <si>
    <t>Active weight fraction</t>
  </si>
  <si>
    <t>Packaging (total)</t>
  </si>
  <si>
    <t>Material by layer</t>
  </si>
  <si>
    <t>Inactive weight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</si>
</sst>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10"/>
      <name val="Arial"/>
      <family val="2"/>
    </font>
    <font>
      <b/>
      <sz val="16"/>
      <color indexed="10"/>
      <name val="Arial"/>
      <family val="2"/>
    </font>
    <font>
      <vertAlign val="superscript"/>
      <sz val="10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0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1" fillId="0" borderId="0" xfId="1" applyAlignment="1">
      <alignment horizontal="center"/>
    </xf>
    <xf numFmtId="2" fontId="1" fillId="0" borderId="0" xfId="1" applyNumberFormat="1"/>
    <xf numFmtId="2" fontId="4" fillId="0" borderId="0" xfId="1" applyNumberFormat="1" applyFont="1" applyAlignment="1">
      <alignment horizontal="center"/>
    </xf>
    <xf numFmtId="0" fontId="1" fillId="0" borderId="1" xfId="1" applyBorder="1"/>
    <xf numFmtId="0" fontId="4" fillId="0" borderId="0" xfId="1" applyFont="1" applyAlignment="1">
      <alignment horizontal="center"/>
    </xf>
    <xf numFmtId="0" fontId="4" fillId="0" borderId="1" xfId="1" applyFont="1" applyBorder="1"/>
    <xf numFmtId="0" fontId="1" fillId="2" borderId="0" xfId="1" applyFill="1" applyAlignment="1">
      <alignment horizontal="center"/>
    </xf>
    <xf numFmtId="0" fontId="1" fillId="0" borderId="0" xfId="1" applyAlignment="1">
      <alignment horizontal="left"/>
    </xf>
    <xf numFmtId="164" fontId="1" fillId="0" borderId="0" xfId="1" applyNumberFormat="1" applyAlignment="1">
      <alignment horizontal="center"/>
    </xf>
    <xf numFmtId="164" fontId="1" fillId="3" borderId="0" xfId="1" applyNumberFormat="1" applyFill="1"/>
    <xf numFmtId="164" fontId="1" fillId="0" borderId="2" xfId="1" applyNumberFormat="1" applyBorder="1" applyAlignment="1">
      <alignment horizontal="center"/>
    </xf>
    <xf numFmtId="164" fontId="1" fillId="3" borderId="2" xfId="1" applyNumberFormat="1" applyFill="1" applyBorder="1"/>
    <xf numFmtId="165" fontId="1" fillId="0" borderId="0" xfId="1" applyNumberFormat="1"/>
    <xf numFmtId="164" fontId="1" fillId="3" borderId="0" xfId="1" applyNumberFormat="1" applyFill="1" applyAlignment="1">
      <alignment horizontal="center" vertical="center"/>
    </xf>
    <xf numFmtId="164" fontId="1" fillId="0" borderId="1" xfId="1" applyNumberFormat="1" applyBorder="1" applyAlignment="1">
      <alignment horizontal="center"/>
    </xf>
    <xf numFmtId="164" fontId="1" fillId="3" borderId="1" xfId="1" applyNumberFormat="1" applyFill="1" applyBorder="1"/>
    <xf numFmtId="0" fontId="4" fillId="0" borderId="2" xfId="1" applyFont="1" applyBorder="1" applyAlignment="1">
      <alignment horizontal="center"/>
    </xf>
    <xf numFmtId="165" fontId="4" fillId="3" borderId="2" xfId="1" applyNumberFormat="1" applyFont="1" applyFill="1" applyBorder="1" applyAlignment="1">
      <alignment horizontal="center"/>
    </xf>
    <xf numFmtId="0" fontId="1" fillId="0" borderId="0" xfId="1" applyAlignment="1">
      <alignment vertical="center"/>
    </xf>
    <xf numFmtId="164" fontId="1" fillId="0" borderId="0" xfId="1" applyNumberFormat="1"/>
    <xf numFmtId="0" fontId="4" fillId="0" borderId="0" xfId="1" applyFont="1" applyAlignment="1">
      <alignment horizontal="right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4" borderId="3" xfId="1" applyFill="1" applyBorder="1"/>
    <xf numFmtId="0" fontId="7" fillId="5" borderId="4" xfId="1" applyFont="1" applyFill="1" applyBorder="1"/>
    <xf numFmtId="164" fontId="4" fillId="0" borderId="0" xfId="1" applyNumberFormat="1" applyFont="1"/>
    <xf numFmtId="0" fontId="4" fillId="0" borderId="0" xfId="1" applyFont="1" applyAlignment="1">
      <alignment horizontal="left"/>
    </xf>
    <xf numFmtId="164" fontId="1" fillId="3" borderId="0" xfId="1" applyNumberFormat="1" applyFill="1" applyAlignment="1">
      <alignment horizontal="center"/>
    </xf>
    <xf numFmtId="0" fontId="4" fillId="6" borderId="0" xfId="1" applyFont="1" applyFill="1" applyAlignment="1">
      <alignment horizontal="center"/>
    </xf>
    <xf numFmtId="0" fontId="1" fillId="6" borderId="0" xfId="1" applyFill="1"/>
    <xf numFmtId="0" fontId="1" fillId="6" borderId="0" xfId="1" applyFill="1" applyAlignment="1">
      <alignment horizontal="center"/>
    </xf>
    <xf numFmtId="164" fontId="1" fillId="6" borderId="0" xfId="1" applyNumberFormat="1" applyFill="1" applyAlignment="1">
      <alignment horizontal="center"/>
    </xf>
    <xf numFmtId="0" fontId="1" fillId="6" borderId="0" xfId="1" applyFill="1" applyAlignment="1">
      <alignment horizontal="left"/>
    </xf>
    <xf numFmtId="164" fontId="1" fillId="6" borderId="0" xfId="1" applyNumberFormat="1" applyFill="1" applyAlignment="1">
      <alignment horizontal="left"/>
    </xf>
    <xf numFmtId="0" fontId="1" fillId="6" borderId="0" xfId="1" applyFill="1" applyAlignment="1">
      <alignment horizontal="center" vertical="center"/>
    </xf>
    <xf numFmtId="164" fontId="1" fillId="6" borderId="0" xfId="1" applyNumberFormat="1" applyFill="1"/>
    <xf numFmtId="1" fontId="1" fillId="6" borderId="0" xfId="1" applyNumberFormat="1" applyFill="1" applyAlignment="1">
      <alignment horizontal="center"/>
    </xf>
    <xf numFmtId="0" fontId="4" fillId="6" borderId="0" xfId="1" applyFont="1" applyFill="1"/>
    <xf numFmtId="165" fontId="1" fillId="6" borderId="0" xfId="1" applyNumberFormat="1" applyFill="1"/>
    <xf numFmtId="2" fontId="1" fillId="6" borderId="0" xfId="1" applyNumberFormat="1" applyFill="1" applyAlignment="1">
      <alignment horizontal="center"/>
    </xf>
    <xf numFmtId="0" fontId="4" fillId="6" borderId="0" xfId="1" applyFont="1" applyFill="1" applyAlignment="1">
      <alignment horizontal="left"/>
    </xf>
    <xf numFmtId="2" fontId="1" fillId="6" borderId="0" xfId="1" applyNumberFormat="1" applyFill="1"/>
    <xf numFmtId="2" fontId="4" fillId="6" borderId="0" xfId="1" applyNumberFormat="1" applyFont="1" applyFill="1"/>
    <xf numFmtId="164" fontId="4" fillId="6" borderId="0" xfId="1" applyNumberFormat="1" applyFont="1" applyFill="1" applyAlignment="1">
      <alignment horizontal="center"/>
    </xf>
    <xf numFmtId="0" fontId="1" fillId="7" borderId="0" xfId="1" applyFill="1" applyAlignment="1">
      <alignment horizontal="center"/>
    </xf>
    <xf numFmtId="0" fontId="1" fillId="7" borderId="0" xfId="1" applyFill="1"/>
    <xf numFmtId="164" fontId="1" fillId="7" borderId="0" xfId="1" applyNumberFormat="1" applyFill="1"/>
    <xf numFmtId="0" fontId="4" fillId="7" borderId="0" xfId="1" applyFont="1" applyFill="1" applyAlignment="1">
      <alignment horizontal="center"/>
    </xf>
    <xf numFmtId="0" fontId="1" fillId="7" borderId="0" xfId="1" applyFill="1" applyAlignment="1">
      <alignment horizontal="center" vertical="center"/>
    </xf>
    <xf numFmtId="164" fontId="1" fillId="7" borderId="0" xfId="1" applyNumberFormat="1" applyFill="1" applyAlignment="1">
      <alignment horizontal="center"/>
    </xf>
    <xf numFmtId="164" fontId="1" fillId="7" borderId="0" xfId="1" applyNumberFormat="1" applyFill="1" applyAlignment="1">
      <alignment horizontal="right"/>
    </xf>
    <xf numFmtId="0" fontId="4" fillId="0" borderId="1" xfId="1" applyFont="1" applyBorder="1" applyAlignment="1">
      <alignment horizontal="center"/>
    </xf>
    <xf numFmtId="0" fontId="1" fillId="8" borderId="0" xfId="1" applyFill="1" applyAlignment="1">
      <alignment horizontal="center"/>
    </xf>
    <xf numFmtId="0" fontId="1" fillId="9" borderId="0" xfId="1" applyFill="1" applyAlignment="1">
      <alignment horizontal="center"/>
    </xf>
    <xf numFmtId="164" fontId="1" fillId="8" borderId="0" xfId="1" applyNumberFormat="1" applyFill="1" applyAlignment="1">
      <alignment horizontal="center"/>
    </xf>
    <xf numFmtId="0" fontId="1" fillId="5" borderId="4" xfId="1" applyFill="1" applyBorder="1" applyAlignment="1">
      <alignment horizontal="center"/>
    </xf>
    <xf numFmtId="164" fontId="1" fillId="9" borderId="0" xfId="1" applyNumberFormat="1" applyFill="1" applyAlignment="1">
      <alignment horizontal="center" vertical="center"/>
    </xf>
    <xf numFmtId="164" fontId="1" fillId="10" borderId="0" xfId="1" applyNumberFormat="1" applyFill="1" applyAlignment="1">
      <alignment horizontal="center"/>
    </xf>
    <xf numFmtId="0" fontId="4" fillId="0" borderId="0" xfId="1" applyFont="1" applyAlignment="1">
      <alignment horizontal="center" wrapText="1"/>
    </xf>
    <xf numFmtId="0" fontId="1" fillId="0" borderId="0" xfId="1" applyAlignment="1">
      <alignment wrapText="1"/>
    </xf>
    <xf numFmtId="0" fontId="4" fillId="0" borderId="0" xfId="1" applyFont="1" applyAlignment="1">
      <alignment horizontal="left" wrapText="1"/>
    </xf>
    <xf numFmtId="0" fontId="0" fillId="0" borderId="0" xfId="0" applyAlignment="1">
      <alignment wrapText="1"/>
    </xf>
    <xf numFmtId="0" fontId="4" fillId="6" borderId="0" xfId="1" applyFont="1" applyFill="1" applyAlignment="1">
      <alignment horizontal="left" wrapText="1"/>
    </xf>
    <xf numFmtId="0" fontId="1" fillId="6" borderId="0" xfId="1" applyFill="1" applyAlignment="1">
      <alignment wrapText="1"/>
    </xf>
    <xf numFmtId="0" fontId="4" fillId="0" borderId="0" xfId="1" applyFont="1" applyAlignment="1">
      <alignment wrapText="1"/>
    </xf>
    <xf numFmtId="0" fontId="4" fillId="0" borderId="0" xfId="1" applyFont="1"/>
    <xf numFmtId="0" fontId="4" fillId="0" borderId="0" xfId="1" applyFont="1" applyAlignment="1">
      <alignment vertical="top" wrapText="1"/>
    </xf>
    <xf numFmtId="0" fontId="1" fillId="0" borderId="1" xfId="1" applyBorder="1" applyAlignment="1">
      <alignment wrapText="1"/>
    </xf>
    <xf numFmtId="0" fontId="4" fillId="0" borderId="1" xfId="1" applyFont="1" applyBorder="1" applyAlignment="1">
      <alignment horizontal="center"/>
    </xf>
    <xf numFmtId="0" fontId="1" fillId="0" borderId="1" xfId="1" applyBorder="1"/>
  </cellXfs>
  <cellStyles count="10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Normal" xfId="0" builtinId="0"/>
    <cellStyle name="Normal 2" xfId="1" xr:uid="{00000000-0005-0000-0000-000063000000}"/>
  </cellStyles>
  <dxfs count="0"/>
  <tableStyles count="0" defaultTableStyle="TableStyleMedium9" defaultPivotStyle="PivotStyleLight16"/>
  <colors>
    <mruColors>
      <color rgb="FFCCFFCC"/>
      <color rgb="FFFFFF99"/>
      <color rgb="FFCCE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E-43C6-BF74-8CB64443B812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E-43C6-BF74-8CB64443B812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E-43C6-BF74-8CB64443B812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E-43C6-BF74-8CB64443B812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EE-43C6-BF74-8CB64443B812}"/>
              </c:ext>
            </c:extLst>
          </c:dPt>
          <c:cat>
            <c:strRef>
              <c:f>Sheet1!$C$1:$C$5</c:f>
              <c:strCache>
                <c:ptCount val="5"/>
                <c:pt idx="0">
                  <c:v>Cathode</c:v>
                </c:pt>
                <c:pt idx="1">
                  <c:v>Anode</c:v>
                </c:pt>
                <c:pt idx="2">
                  <c:v>Electrolyte</c:v>
                </c:pt>
                <c:pt idx="3">
                  <c:v>CC</c:v>
                </c:pt>
                <c:pt idx="4">
                  <c:v>Pouch</c:v>
                </c:pt>
              </c:strCache>
            </c:strRef>
          </c:cat>
          <c:val>
            <c:numRef>
              <c:f>Sheet1!$D$1:$D$5</c:f>
              <c:numCache>
                <c:formatCode>General</c:formatCode>
                <c:ptCount val="5"/>
                <c:pt idx="0">
                  <c:v>52.669763776017255</c:v>
                </c:pt>
                <c:pt idx="1">
                  <c:v>17.73392734785488</c:v>
                </c:pt>
                <c:pt idx="2">
                  <c:v>14.484185038404746</c:v>
                </c:pt>
                <c:pt idx="3">
                  <c:v>7.0896511743306423</c:v>
                </c:pt>
                <c:pt idx="4">
                  <c:v>8.0224726633924881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4-4843-95FF-CB7CCECEE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1047750</xdr:colOff>
      <xdr:row>26</xdr:row>
      <xdr:rowOff>88900</xdr:rowOff>
    </xdr:from>
    <xdr:to>
      <xdr:col>13</xdr:col>
      <xdr:colOff>142875</xdr:colOff>
      <xdr:row>30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5A16F2-C945-4AF5-A561-C4F98382563C}"/>
            </a:ext>
          </a:extLst>
        </xdr:cNvPr>
        <xdr:cNvSpPr>
          <a:spLocks noChangeArrowheads="1"/>
        </xdr:cNvSpPr>
      </xdr:nvSpPr>
      <xdr:spPr bwMode="auto">
        <a:xfrm>
          <a:off x="8362950" y="5080000"/>
          <a:ext cx="1400175" cy="6159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1047750</xdr:colOff>
      <xdr:row>26</xdr:row>
      <xdr:rowOff>88900</xdr:rowOff>
    </xdr:from>
    <xdr:to>
      <xdr:col>13</xdr:col>
      <xdr:colOff>142875</xdr:colOff>
      <xdr:row>30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E008BF6-0086-4E07-8F5F-0820CA14687F}"/>
            </a:ext>
          </a:extLst>
        </xdr:cNvPr>
        <xdr:cNvSpPr>
          <a:spLocks noChangeArrowheads="1"/>
        </xdr:cNvSpPr>
      </xdr:nvSpPr>
      <xdr:spPr bwMode="auto">
        <a:xfrm>
          <a:off x="8362950" y="5080000"/>
          <a:ext cx="1400175" cy="6159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1047750</xdr:colOff>
      <xdr:row>26</xdr:row>
      <xdr:rowOff>88900</xdr:rowOff>
    </xdr:from>
    <xdr:to>
      <xdr:col>13</xdr:col>
      <xdr:colOff>142875</xdr:colOff>
      <xdr:row>30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8F5ED98-96C6-40C7-A58C-C7988D593A1B}"/>
            </a:ext>
          </a:extLst>
        </xdr:cNvPr>
        <xdr:cNvSpPr>
          <a:spLocks noChangeArrowheads="1"/>
        </xdr:cNvSpPr>
      </xdr:nvSpPr>
      <xdr:spPr bwMode="auto">
        <a:xfrm>
          <a:off x="8362950" y="5080000"/>
          <a:ext cx="1400175" cy="6159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11</xdr:col>
      <xdr:colOff>1047750</xdr:colOff>
      <xdr:row>26</xdr:row>
      <xdr:rowOff>88900</xdr:rowOff>
    </xdr:from>
    <xdr:to>
      <xdr:col>13</xdr:col>
      <xdr:colOff>142875</xdr:colOff>
      <xdr:row>30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738F4C-8788-4735-B630-98D78128CC98}"/>
            </a:ext>
          </a:extLst>
        </xdr:cNvPr>
        <xdr:cNvSpPr>
          <a:spLocks noChangeArrowheads="1"/>
        </xdr:cNvSpPr>
      </xdr:nvSpPr>
      <xdr:spPr bwMode="auto">
        <a:xfrm>
          <a:off x="8362950" y="5080000"/>
          <a:ext cx="1400175" cy="6159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17</xdr:row>
      <xdr:rowOff>171450</xdr:rowOff>
    </xdr:from>
    <xdr:to>
      <xdr:col>11</xdr:col>
      <xdr:colOff>552450</xdr:colOff>
      <xdr:row>32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DCF6E-96C4-ADAA-675A-2A9BD742B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198A-27AE-4B19-BE33-FED26649F702}">
  <dimension ref="A1:AM66"/>
  <sheetViews>
    <sheetView tabSelected="1" topLeftCell="A5" zoomScale="120" zoomScaleNormal="120" workbookViewId="0">
      <selection activeCell="B19" sqref="B19"/>
    </sheetView>
  </sheetViews>
  <sheetFormatPr defaultColWidth="8.85546875" defaultRowHeight="12.75" x14ac:dyDescent="0.2"/>
  <cols>
    <col min="1" max="1" width="26.85546875" style="1" bestFit="1" customWidth="1"/>
    <col min="2" max="2" width="12.42578125" style="1" bestFit="1" customWidth="1"/>
    <col min="3" max="3" width="9" style="1" customWidth="1"/>
    <col min="4" max="4" width="1.140625" style="1" customWidth="1"/>
    <col min="5" max="5" width="1.7109375" style="1" customWidth="1"/>
    <col min="6" max="6" width="18.7109375" style="1" customWidth="1"/>
    <col min="7" max="7" width="10.28515625" style="1" customWidth="1"/>
    <col min="8" max="8" width="8.85546875" style="1"/>
    <col min="9" max="9" width="10.42578125" style="1" customWidth="1"/>
    <col min="10" max="10" width="7.85546875" style="1" bestFit="1" customWidth="1"/>
    <col min="11" max="11" width="2.42578125" style="1" customWidth="1"/>
    <col min="12" max="12" width="25.42578125" style="1" customWidth="1"/>
    <col min="13" max="13" width="9.140625" style="1" bestFit="1" customWidth="1"/>
    <col min="14" max="14" width="9.42578125" style="1" customWidth="1"/>
    <col min="15" max="15" width="8.42578125" style="1" customWidth="1"/>
    <col min="16" max="16" width="22.7109375" style="1" customWidth="1"/>
    <col min="17" max="16384" width="8.85546875" style="1"/>
  </cols>
  <sheetData>
    <row r="1" spans="1:39" ht="27.75" x14ac:dyDescent="0.4">
      <c r="F1" s="3"/>
      <c r="G1" s="2" t="s">
        <v>37</v>
      </c>
      <c r="M1" s="4"/>
    </row>
    <row r="2" spans="1:39" ht="17.25" customHeight="1" x14ac:dyDescent="0.2">
      <c r="E2" s="4"/>
    </row>
    <row r="3" spans="1:39" ht="20.25" x14ac:dyDescent="0.3">
      <c r="A3" s="5" t="s">
        <v>0</v>
      </c>
      <c r="E3" s="4"/>
      <c r="F3" s="5" t="s">
        <v>34</v>
      </c>
      <c r="G3" s="5"/>
      <c r="H3" s="5"/>
      <c r="I3" s="5"/>
      <c r="L3" s="5" t="s">
        <v>36</v>
      </c>
      <c r="P3" s="5" t="s">
        <v>33</v>
      </c>
    </row>
    <row r="4" spans="1:39" ht="39" customHeight="1" x14ac:dyDescent="0.25">
      <c r="A4" s="71" t="s">
        <v>1</v>
      </c>
      <c r="B4" s="72"/>
      <c r="C4" s="72"/>
      <c r="E4" s="4"/>
      <c r="F4" s="71" t="s">
        <v>2</v>
      </c>
      <c r="G4" s="71"/>
      <c r="H4" s="71"/>
      <c r="I4" s="68"/>
      <c r="L4" s="73" t="s">
        <v>38</v>
      </c>
      <c r="M4" s="73"/>
      <c r="N4" s="73"/>
      <c r="P4" s="73" t="s">
        <v>39</v>
      </c>
      <c r="Q4" s="73"/>
      <c r="R4" s="73"/>
    </row>
    <row r="5" spans="1:39" ht="12.75" customHeight="1" x14ac:dyDescent="0.2">
      <c r="E5" s="4"/>
      <c r="F5" s="6"/>
      <c r="I5" s="7"/>
      <c r="L5" s="68"/>
      <c r="M5" s="68"/>
      <c r="N5" s="68"/>
      <c r="P5" s="10"/>
      <c r="Q5" s="6"/>
      <c r="V5" s="1">
        <v>0</v>
      </c>
    </row>
    <row r="6" spans="1:39" x14ac:dyDescent="0.2">
      <c r="E6" s="4"/>
      <c r="F6" s="6"/>
      <c r="G6" s="65" t="s">
        <v>3</v>
      </c>
      <c r="I6" s="8" t="s">
        <v>4</v>
      </c>
      <c r="L6" s="68"/>
      <c r="M6" s="68"/>
      <c r="N6" s="68"/>
      <c r="O6" s="36"/>
      <c r="P6" s="37"/>
      <c r="Q6" s="38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39" x14ac:dyDescent="0.2">
      <c r="A7" s="58" t="s">
        <v>58</v>
      </c>
      <c r="B7" s="9"/>
      <c r="C7" s="9"/>
      <c r="F7" s="58" t="s">
        <v>87</v>
      </c>
      <c r="G7" s="74"/>
      <c r="H7" s="58" t="s">
        <v>6</v>
      </c>
      <c r="I7" s="10" t="s">
        <v>7</v>
      </c>
      <c r="J7" s="10" t="s">
        <v>6</v>
      </c>
      <c r="M7" s="37"/>
      <c r="N7" s="36"/>
      <c r="O7" s="36"/>
      <c r="P7" s="37"/>
      <c r="Q7" s="38"/>
      <c r="R7" s="36"/>
      <c r="S7" s="36"/>
      <c r="T7" s="36"/>
      <c r="U7" s="36"/>
      <c r="V7" s="36"/>
      <c r="W7" s="36"/>
      <c r="X7" s="36"/>
      <c r="Y7" s="36"/>
      <c r="Z7" s="36"/>
      <c r="AA7" s="36"/>
      <c r="AE7" s="36"/>
      <c r="AF7" s="36"/>
      <c r="AG7" s="36"/>
      <c r="AH7" s="36"/>
      <c r="AI7" s="36"/>
      <c r="AJ7" s="36"/>
      <c r="AK7" s="36"/>
      <c r="AL7" s="36"/>
      <c r="AM7" s="36"/>
    </row>
    <row r="8" spans="1:39" x14ac:dyDescent="0.2">
      <c r="A8" s="6" t="s">
        <v>8</v>
      </c>
      <c r="B8" s="62">
        <f>B46*B47*B48/10000</f>
        <v>99.158249999999995</v>
      </c>
      <c r="C8" s="13" t="s">
        <v>9</v>
      </c>
      <c r="D8" s="6"/>
      <c r="F8" s="6" t="s">
        <v>5</v>
      </c>
      <c r="G8" s="14">
        <f>B10</f>
        <v>35</v>
      </c>
      <c r="H8" s="15">
        <f>G8*B$40/$G$14*100</f>
        <v>54.22381240234737</v>
      </c>
      <c r="I8" s="16">
        <f>B12</f>
        <v>136.44160299391862</v>
      </c>
      <c r="J8" s="17">
        <f>I8/I$14*100</f>
        <v>27.224548043885598</v>
      </c>
      <c r="M8" s="37"/>
      <c r="N8" s="36"/>
      <c r="O8" s="36"/>
      <c r="P8" s="37"/>
      <c r="Q8" s="38"/>
      <c r="R8" s="36"/>
      <c r="S8" s="36"/>
      <c r="T8" s="36"/>
      <c r="U8" s="36"/>
      <c r="V8" s="36"/>
      <c r="W8" s="36"/>
      <c r="X8" s="36"/>
      <c r="Y8" s="36"/>
      <c r="Z8" s="36"/>
      <c r="AA8" s="36"/>
      <c r="AE8" s="36"/>
      <c r="AF8" s="44"/>
      <c r="AG8" s="35"/>
      <c r="AH8" s="35"/>
      <c r="AI8" s="35"/>
      <c r="AJ8" s="35"/>
      <c r="AK8" s="36"/>
      <c r="AL8" s="36"/>
      <c r="AM8" s="36"/>
    </row>
    <row r="9" spans="1:39" x14ac:dyDescent="0.2">
      <c r="A9" s="6" t="s">
        <v>42</v>
      </c>
      <c r="B9" s="12">
        <v>4.2</v>
      </c>
      <c r="C9" s="13" t="s">
        <v>10</v>
      </c>
      <c r="D9" s="6"/>
      <c r="E9" s="6"/>
      <c r="F9" s="6" t="s">
        <v>11</v>
      </c>
      <c r="G9" s="14">
        <f>B18</f>
        <v>14.970951470588236</v>
      </c>
      <c r="H9" s="15">
        <f t="shared" ref="H9:H12" si="0">G9*B$40/$G$14*100</f>
        <v>23.193773257880657</v>
      </c>
      <c r="I9" s="14">
        <f>B18/B19*10/0.95</f>
        <v>69.729629578892585</v>
      </c>
      <c r="J9" s="15">
        <f>I9/I$14*100</f>
        <v>13.913334414852335</v>
      </c>
      <c r="M9" s="37"/>
      <c r="N9" s="36"/>
      <c r="O9" s="36"/>
      <c r="P9" s="37"/>
      <c r="Q9" s="37"/>
      <c r="R9" s="36"/>
      <c r="S9" s="36"/>
      <c r="T9" s="36"/>
      <c r="U9" s="36"/>
      <c r="V9" s="36"/>
      <c r="W9" s="36"/>
      <c r="X9" s="36"/>
      <c r="Y9" s="36"/>
      <c r="Z9" s="36"/>
      <c r="AA9" s="36"/>
      <c r="AE9" s="36"/>
      <c r="AF9" s="36"/>
      <c r="AG9" s="45"/>
      <c r="AH9" s="37"/>
      <c r="AI9" s="46"/>
      <c r="AJ9" s="46"/>
      <c r="AK9" s="36"/>
      <c r="AL9" s="36"/>
      <c r="AM9" s="36"/>
    </row>
    <row r="10" spans="1:39" ht="14.25" x14ac:dyDescent="0.2">
      <c r="A10" s="6" t="s">
        <v>79</v>
      </c>
      <c r="B10" s="12">
        <v>35</v>
      </c>
      <c r="C10" s="13" t="s">
        <v>13</v>
      </c>
      <c r="D10" s="6"/>
      <c r="E10" s="6"/>
      <c r="F10" s="6" t="s">
        <v>14</v>
      </c>
      <c r="G10" s="14">
        <f>B25*B24/10000*1000</f>
        <v>5.1000000000000005</v>
      </c>
      <c r="H10" s="15">
        <f t="shared" si="0"/>
        <v>7.901184092913474</v>
      </c>
      <c r="I10" s="14">
        <f>B24</f>
        <v>30</v>
      </c>
      <c r="J10" s="15">
        <f>I10/I$14*100</f>
        <v>5.9859780550435993</v>
      </c>
      <c r="M10" s="37"/>
      <c r="N10" s="36"/>
      <c r="O10" s="36"/>
      <c r="P10" s="35"/>
      <c r="Q10" s="37"/>
      <c r="R10" s="36"/>
      <c r="S10" s="36"/>
      <c r="T10" s="36"/>
      <c r="U10" s="36"/>
      <c r="V10" s="36"/>
      <c r="W10" s="36"/>
      <c r="X10" s="36"/>
      <c r="Y10" s="36"/>
      <c r="Z10" s="36"/>
      <c r="AA10" s="36"/>
      <c r="AE10" s="36"/>
      <c r="AF10" s="36"/>
      <c r="AG10" s="45"/>
      <c r="AH10" s="37"/>
      <c r="AI10" s="46"/>
      <c r="AJ10" s="46"/>
      <c r="AK10" s="36"/>
      <c r="AL10" s="36"/>
      <c r="AM10" s="36"/>
    </row>
    <row r="11" spans="1:39" ht="14.25" x14ac:dyDescent="0.2">
      <c r="A11" s="6" t="s">
        <v>15</v>
      </c>
      <c r="B11" s="34">
        <f>B60</f>
        <v>2.5651999999999999</v>
      </c>
      <c r="C11" s="13" t="s">
        <v>16</v>
      </c>
      <c r="D11" s="6"/>
      <c r="E11" s="6"/>
      <c r="F11" s="6" t="s">
        <v>40</v>
      </c>
      <c r="G11" s="14">
        <f>C30</f>
        <v>1.6199999999999999</v>
      </c>
      <c r="H11" s="15">
        <f t="shared" si="0"/>
        <v>2.5097878883372204</v>
      </c>
      <c r="I11" s="14">
        <f>B30</f>
        <v>25</v>
      </c>
      <c r="J11" s="15">
        <f>I11/I$14*100</f>
        <v>4.9883150458696663</v>
      </c>
      <c r="L11" s="37"/>
      <c r="M11" s="38"/>
      <c r="N11" s="39"/>
      <c r="O11" s="36"/>
      <c r="P11" s="37"/>
      <c r="Q11" s="37"/>
      <c r="R11" s="36"/>
      <c r="S11" s="36"/>
      <c r="T11" s="36"/>
      <c r="U11" s="36"/>
      <c r="V11" s="36"/>
      <c r="W11" s="36"/>
      <c r="X11" s="36"/>
      <c r="Y11" s="36"/>
      <c r="Z11" s="36"/>
      <c r="AA11" s="36"/>
      <c r="AE11" s="36"/>
      <c r="AF11" s="36"/>
      <c r="AG11" s="45"/>
      <c r="AH11" s="37"/>
      <c r="AI11" s="46"/>
      <c r="AJ11" s="46"/>
      <c r="AK11" s="36"/>
      <c r="AL11" s="36"/>
      <c r="AM11" s="36"/>
    </row>
    <row r="12" spans="1:39" x14ac:dyDescent="0.2">
      <c r="A12" s="6" t="s">
        <v>4</v>
      </c>
      <c r="B12" s="19">
        <f>(B10/1000/B11*10000)</f>
        <v>136.44160299391862</v>
      </c>
      <c r="C12" s="13" t="s">
        <v>7</v>
      </c>
      <c r="D12" s="6"/>
      <c r="E12" s="6"/>
      <c r="F12" s="6" t="s">
        <v>41</v>
      </c>
      <c r="G12" s="14">
        <f>C31</f>
        <v>3.0912000000000002</v>
      </c>
      <c r="H12" s="15">
        <f t="shared" si="0"/>
        <v>4.7890471113753197</v>
      </c>
      <c r="I12" s="20">
        <f>B35*2</f>
        <v>240</v>
      </c>
      <c r="J12" s="21">
        <f>I12/I$14*100</f>
        <v>47.887824440348794</v>
      </c>
      <c r="L12" s="37"/>
      <c r="M12" s="37"/>
      <c r="N12" s="36"/>
      <c r="O12" s="36"/>
      <c r="P12" s="37"/>
      <c r="Q12" s="38"/>
      <c r="R12" s="40"/>
      <c r="S12" s="36"/>
      <c r="T12" s="36"/>
      <c r="U12" s="36"/>
      <c r="V12" s="36"/>
      <c r="W12" s="36"/>
      <c r="X12" s="36"/>
      <c r="Y12" s="36"/>
      <c r="Z12" s="36"/>
      <c r="AA12" s="36"/>
      <c r="AE12" s="36"/>
      <c r="AF12" s="36"/>
      <c r="AG12" s="45"/>
      <c r="AH12" s="37"/>
      <c r="AI12" s="46"/>
      <c r="AJ12" s="46"/>
      <c r="AK12" s="36"/>
      <c r="AL12" s="36"/>
      <c r="AM12" s="36"/>
    </row>
    <row r="13" spans="1:39" ht="12" customHeight="1" x14ac:dyDescent="0.2">
      <c r="A13" s="6"/>
      <c r="B13" s="13"/>
      <c r="C13" s="13"/>
      <c r="D13" s="6"/>
      <c r="E13" s="6"/>
      <c r="F13" s="6" t="s">
        <v>86</v>
      </c>
      <c r="G13" s="1">
        <f>B43/B41*1000</f>
        <v>42.886222857142869</v>
      </c>
      <c r="H13" s="15">
        <f>G13/$G$14*100</f>
        <v>7.3823952471459577</v>
      </c>
      <c r="L13" s="35"/>
      <c r="M13" s="37"/>
      <c r="N13" s="36"/>
      <c r="O13" s="36"/>
      <c r="P13" s="37"/>
      <c r="Q13" s="38"/>
      <c r="R13" s="40"/>
      <c r="S13" s="36"/>
      <c r="T13" s="36"/>
      <c r="U13" s="36"/>
      <c r="V13" s="36"/>
      <c r="W13" s="36"/>
      <c r="X13" s="36"/>
      <c r="Y13" s="36"/>
      <c r="Z13" s="36"/>
      <c r="AA13" s="36"/>
      <c r="AE13" s="36"/>
      <c r="AF13" s="36"/>
      <c r="AG13" s="45"/>
      <c r="AH13" s="37"/>
      <c r="AI13" s="46"/>
      <c r="AJ13" s="46"/>
      <c r="AK13" s="36"/>
      <c r="AL13" s="36"/>
      <c r="AM13" s="36"/>
    </row>
    <row r="14" spans="1:39" x14ac:dyDescent="0.2">
      <c r="A14" s="6"/>
      <c r="B14" s="6"/>
      <c r="C14" s="13"/>
      <c r="D14" s="6"/>
      <c r="E14" s="6"/>
      <c r="F14" s="22" t="s">
        <v>17</v>
      </c>
      <c r="G14" s="23">
        <f>SUM(G8:G12)*B40+G13</f>
        <v>580.92558609243702</v>
      </c>
      <c r="H14" s="22"/>
      <c r="I14" s="23">
        <f>SUM(I8:I12)</f>
        <v>501.17123257281122</v>
      </c>
      <c r="K14" s="6"/>
      <c r="L14" s="51" t="s">
        <v>44</v>
      </c>
      <c r="M14" s="51" t="s">
        <v>43</v>
      </c>
      <c r="N14" s="52" t="s">
        <v>47</v>
      </c>
      <c r="O14" s="52"/>
      <c r="P14" s="37"/>
      <c r="Q14" s="38"/>
      <c r="R14" s="40"/>
      <c r="S14" s="36"/>
      <c r="T14" s="36"/>
      <c r="U14" s="36"/>
      <c r="V14" s="36"/>
      <c r="W14" s="36"/>
      <c r="X14" s="36"/>
      <c r="Y14" s="36"/>
      <c r="Z14" s="36"/>
      <c r="AA14" s="36"/>
      <c r="AE14" s="36"/>
      <c r="AF14" s="36"/>
      <c r="AG14" s="45"/>
      <c r="AH14" s="37"/>
      <c r="AI14" s="46"/>
      <c r="AJ14" s="46"/>
      <c r="AK14" s="36"/>
      <c r="AL14" s="36"/>
      <c r="AM14" s="36"/>
    </row>
    <row r="15" spans="1:39" ht="12.75" customHeight="1" x14ac:dyDescent="0.2">
      <c r="A15" s="58" t="s">
        <v>11</v>
      </c>
      <c r="B15" s="9"/>
      <c r="C15" s="9"/>
      <c r="E15" s="6"/>
      <c r="F15" s="24"/>
      <c r="G15" s="24"/>
      <c r="H15" s="24"/>
      <c r="I15" s="24"/>
      <c r="J15" s="25"/>
      <c r="L15" s="51">
        <f>3.14159*M15^2/4</f>
        <v>1.26676762775</v>
      </c>
      <c r="M15" s="51">
        <v>1.27</v>
      </c>
      <c r="N15" s="52"/>
      <c r="O15" s="52"/>
      <c r="P15" s="37"/>
      <c r="Q15" s="38"/>
      <c r="R15" s="40"/>
      <c r="S15" s="36"/>
      <c r="T15" s="36"/>
      <c r="U15" s="36"/>
      <c r="V15" s="36"/>
      <c r="W15" s="36"/>
      <c r="X15" s="36"/>
      <c r="Y15" s="36"/>
      <c r="Z15" s="36"/>
      <c r="AA15" s="36"/>
      <c r="AE15" s="36"/>
      <c r="AF15" s="36"/>
      <c r="AG15" s="47"/>
      <c r="AH15" s="35"/>
      <c r="AI15" s="46"/>
      <c r="AJ15" s="46"/>
      <c r="AK15" s="36"/>
      <c r="AL15" s="36"/>
      <c r="AM15" s="36"/>
    </row>
    <row r="16" spans="1:39" ht="12.75" customHeight="1" x14ac:dyDescent="0.2">
      <c r="A16" s="6" t="s">
        <v>8</v>
      </c>
      <c r="B16" s="12">
        <v>340</v>
      </c>
      <c r="C16" s="13" t="s">
        <v>9</v>
      </c>
      <c r="D16" s="6"/>
      <c r="E16" s="6"/>
      <c r="F16" s="75" t="s">
        <v>18</v>
      </c>
      <c r="G16" s="76"/>
      <c r="H16" s="76"/>
      <c r="I16" s="24"/>
      <c r="J16" s="25"/>
      <c r="L16" s="51"/>
      <c r="M16" s="51"/>
      <c r="N16" s="52"/>
      <c r="O16" s="52"/>
      <c r="P16" s="37"/>
      <c r="Q16" s="38"/>
      <c r="R16" s="40"/>
      <c r="S16" s="36"/>
      <c r="T16" s="36"/>
      <c r="U16" s="36"/>
      <c r="V16" s="36"/>
      <c r="W16" s="36"/>
      <c r="X16" s="36"/>
      <c r="Y16" s="36"/>
      <c r="Z16" s="36"/>
      <c r="AA16" s="36"/>
      <c r="AE16" s="36"/>
      <c r="AF16" s="36"/>
      <c r="AG16" s="48"/>
      <c r="AH16" s="37"/>
      <c r="AI16" s="46"/>
      <c r="AJ16" s="46"/>
      <c r="AK16" s="36"/>
      <c r="AL16" s="36"/>
      <c r="AM16" s="36"/>
    </row>
    <row r="17" spans="1:39" ht="12.75" customHeight="1" x14ac:dyDescent="0.2">
      <c r="A17" s="6" t="s">
        <v>42</v>
      </c>
      <c r="B17" s="12">
        <v>0.2</v>
      </c>
      <c r="C17" s="13" t="s">
        <v>10</v>
      </c>
      <c r="D17" s="6"/>
      <c r="E17" s="6"/>
      <c r="F17" s="6" t="s">
        <v>19</v>
      </c>
      <c r="G17" s="15">
        <f>B8*(B9-B17)*H8/100</f>
        <v>215.06953384580243</v>
      </c>
      <c r="H17" s="1" t="s">
        <v>20</v>
      </c>
      <c r="I17" s="24"/>
      <c r="J17" s="26"/>
      <c r="K17" s="4"/>
      <c r="L17" s="51"/>
      <c r="M17" s="51" t="s">
        <v>45</v>
      </c>
      <c r="N17" s="52" t="s">
        <v>46</v>
      </c>
      <c r="O17" s="52"/>
      <c r="P17" s="37"/>
      <c r="Q17" s="38"/>
      <c r="R17" s="40"/>
      <c r="S17" s="36"/>
      <c r="T17" s="36"/>
      <c r="U17" s="36"/>
      <c r="V17" s="36"/>
      <c r="W17" s="36"/>
      <c r="X17" s="36"/>
      <c r="Y17" s="36"/>
      <c r="Z17" s="36"/>
      <c r="AA17" s="36"/>
      <c r="AE17" s="36"/>
      <c r="AF17" s="36"/>
      <c r="AG17" s="48"/>
      <c r="AH17" s="37"/>
      <c r="AI17" s="46"/>
      <c r="AJ17" s="46"/>
      <c r="AK17" s="36"/>
      <c r="AL17" s="36"/>
      <c r="AM17" s="36"/>
    </row>
    <row r="18" spans="1:39" ht="12.75" customHeight="1" x14ac:dyDescent="0.2">
      <c r="A18" s="6" t="s">
        <v>12</v>
      </c>
      <c r="B18" s="19">
        <f>B8*B10/B16/0.75*B20</f>
        <v>14.970951470588236</v>
      </c>
      <c r="C18" s="13" t="s">
        <v>13</v>
      </c>
      <c r="D18" s="6"/>
      <c r="E18" s="6"/>
      <c r="F18" s="6" t="s">
        <v>21</v>
      </c>
      <c r="G18" s="15">
        <f>B12+B20+B24+0.5*B30+0.5*B31</f>
        <v>192.54160299391862</v>
      </c>
      <c r="H18" s="13" t="s">
        <v>7</v>
      </c>
      <c r="I18" s="24"/>
      <c r="J18" s="26"/>
      <c r="K18" s="4"/>
      <c r="L18" s="51"/>
      <c r="M18" s="51">
        <v>10</v>
      </c>
      <c r="N18" s="53">
        <f>L15*M18</f>
        <v>12.6676762775</v>
      </c>
      <c r="O18" s="52"/>
      <c r="P18" s="38"/>
      <c r="Q18" s="38"/>
      <c r="R18" s="40"/>
      <c r="S18" s="36"/>
      <c r="T18" s="36"/>
      <c r="U18" s="36"/>
      <c r="V18" s="36"/>
      <c r="W18" s="36"/>
      <c r="X18" s="36"/>
      <c r="Y18" s="37"/>
      <c r="Z18" s="37"/>
      <c r="AA18" s="37"/>
      <c r="AB18" s="6"/>
      <c r="AE18" s="36"/>
      <c r="AF18" s="36"/>
      <c r="AG18" s="36"/>
      <c r="AH18" s="36"/>
      <c r="AI18" s="36"/>
      <c r="AJ18" s="36"/>
      <c r="AK18" s="36"/>
      <c r="AL18" s="36"/>
      <c r="AM18" s="36"/>
    </row>
    <row r="19" spans="1:39" ht="14.25" x14ac:dyDescent="0.2">
      <c r="A19" s="6" t="s">
        <v>15</v>
      </c>
      <c r="B19" s="12">
        <v>2.2599999999999998</v>
      </c>
      <c r="C19" s="13" t="s">
        <v>16</v>
      </c>
      <c r="D19" s="6"/>
      <c r="E19" s="6"/>
      <c r="F19" s="6" t="s">
        <v>22</v>
      </c>
      <c r="G19" s="15">
        <f>B8*B10/1000</f>
        <v>3.4705387499999998</v>
      </c>
      <c r="H19" s="13" t="s">
        <v>23</v>
      </c>
      <c r="I19" s="24"/>
      <c r="J19" s="4"/>
      <c r="K19" s="4"/>
      <c r="L19" s="54"/>
      <c r="M19" s="51">
        <v>20</v>
      </c>
      <c r="N19" s="53">
        <f>L15*M19</f>
        <v>25.335352555</v>
      </c>
      <c r="O19" s="52"/>
      <c r="P19" s="36"/>
      <c r="Q19" s="36"/>
      <c r="R19" s="36"/>
      <c r="S19" s="36"/>
      <c r="T19" s="36"/>
      <c r="U19" s="36"/>
      <c r="V19" s="36"/>
      <c r="W19" s="36"/>
      <c r="X19" s="36"/>
      <c r="Y19" s="37"/>
      <c r="Z19" s="37"/>
      <c r="AA19" s="37"/>
      <c r="AB19" s="6"/>
      <c r="AE19" s="36"/>
      <c r="AF19" s="44"/>
      <c r="AG19" s="36"/>
      <c r="AH19" s="36"/>
      <c r="AI19" s="49"/>
      <c r="AJ19" s="36"/>
      <c r="AK19" s="36"/>
      <c r="AL19" s="36"/>
      <c r="AM19" s="36"/>
    </row>
    <row r="20" spans="1:39" x14ac:dyDescent="0.2">
      <c r="A20" s="6" t="s">
        <v>78</v>
      </c>
      <c r="B20" s="63">
        <v>1.1000000000000001</v>
      </c>
      <c r="C20" s="13"/>
      <c r="D20" s="6"/>
      <c r="E20" s="6"/>
      <c r="F20" s="6" t="s">
        <v>24</v>
      </c>
      <c r="G20" s="15">
        <f>G17*(SUM(G8:G12)/1000000)/(G18/10000)*1000</f>
        <v>667.76838091893615</v>
      </c>
      <c r="H20" s="13" t="s">
        <v>25</v>
      </c>
      <c r="I20" s="24"/>
      <c r="L20" s="55"/>
      <c r="M20" s="56">
        <v>30</v>
      </c>
      <c r="N20" s="57">
        <f>L15*M20</f>
        <v>38.0030288325</v>
      </c>
      <c r="O20" s="52"/>
      <c r="P20" s="36"/>
      <c r="Q20" s="36"/>
      <c r="R20" s="36"/>
      <c r="S20" s="36"/>
      <c r="T20" s="36"/>
      <c r="U20" s="36"/>
      <c r="V20" s="36"/>
      <c r="W20" s="36"/>
      <c r="X20" s="36"/>
      <c r="Y20" s="37"/>
      <c r="Z20" s="37"/>
      <c r="AA20" s="37"/>
      <c r="AB20" s="6"/>
      <c r="AE20" s="36"/>
      <c r="AF20" s="36"/>
      <c r="AG20" s="36"/>
      <c r="AH20" s="36"/>
      <c r="AI20" s="36"/>
      <c r="AJ20" s="36"/>
      <c r="AK20" s="36"/>
      <c r="AL20" s="36"/>
      <c r="AM20" s="36"/>
    </row>
    <row r="21" spans="1:39" ht="14.25" x14ac:dyDescent="0.2">
      <c r="A21" s="6" t="s">
        <v>70</v>
      </c>
      <c r="B21" s="59">
        <f>B18*0.95*B16/(B10*B8)*100-100</f>
        <v>39.333333333333343</v>
      </c>
      <c r="C21" s="13" t="s">
        <v>6</v>
      </c>
      <c r="D21" s="6"/>
      <c r="E21" s="6"/>
      <c r="F21" s="6" t="s">
        <v>26</v>
      </c>
      <c r="G21" s="15">
        <f>G19/(G18/10000)</f>
        <v>180.24877200745109</v>
      </c>
      <c r="H21" s="13" t="s">
        <v>27</v>
      </c>
      <c r="I21" s="24"/>
      <c r="L21" s="41"/>
      <c r="M21" s="38"/>
      <c r="N21" s="39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7"/>
      <c r="Z21" s="37"/>
      <c r="AA21" s="37"/>
      <c r="AB21" s="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39" ht="14.25" x14ac:dyDescent="0.2">
      <c r="A22" s="6"/>
      <c r="B22" s="6"/>
      <c r="C22" s="13"/>
      <c r="D22" s="6"/>
      <c r="E22" s="6"/>
      <c r="F22" s="6" t="s">
        <v>15</v>
      </c>
      <c r="G22" s="15">
        <f>G20/G17</f>
        <v>3.1048952819031239</v>
      </c>
      <c r="H22" s="13" t="s">
        <v>16</v>
      </c>
      <c r="J22" s="4"/>
      <c r="L22" s="41"/>
      <c r="M22" s="38"/>
      <c r="N22" s="39"/>
      <c r="O22" s="36"/>
      <c r="P22" s="35"/>
      <c r="Q22" s="37"/>
      <c r="R22" s="36"/>
      <c r="S22" s="36"/>
      <c r="T22" s="37"/>
      <c r="U22" s="36"/>
      <c r="V22" s="36"/>
      <c r="W22" s="36"/>
      <c r="X22" s="36"/>
      <c r="Y22" s="37"/>
      <c r="Z22" s="37"/>
      <c r="AA22" s="37"/>
      <c r="AB22" s="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1:39" x14ac:dyDescent="0.2">
      <c r="A23" s="10" t="s">
        <v>14</v>
      </c>
      <c r="B23" s="6"/>
      <c r="C23" s="27"/>
      <c r="D23" s="6"/>
      <c r="E23" s="6"/>
      <c r="F23" s="14"/>
      <c r="I23" s="65"/>
      <c r="J23" s="66"/>
      <c r="L23" s="41"/>
      <c r="M23" s="38"/>
      <c r="N23" s="39"/>
      <c r="O23" s="36"/>
      <c r="P23" s="37"/>
      <c r="Q23" s="42"/>
      <c r="R23" s="36"/>
      <c r="S23" s="36"/>
      <c r="T23" s="37"/>
      <c r="U23" s="37"/>
      <c r="V23" s="37"/>
      <c r="W23" s="37"/>
      <c r="X23" s="37"/>
      <c r="Y23" s="37"/>
      <c r="Z23" s="37"/>
      <c r="AA23" s="37"/>
      <c r="AB23" s="6"/>
      <c r="AE23" s="36"/>
      <c r="AF23" s="36"/>
      <c r="AG23" s="36"/>
      <c r="AH23" s="36"/>
      <c r="AI23" s="36"/>
      <c r="AJ23" s="36"/>
      <c r="AK23" s="36"/>
      <c r="AL23" s="37"/>
      <c r="AM23" s="37"/>
    </row>
    <row r="24" spans="1:39" x14ac:dyDescent="0.2">
      <c r="A24" s="28" t="s">
        <v>4</v>
      </c>
      <c r="B24" s="29">
        <v>30</v>
      </c>
      <c r="C24" s="13" t="s">
        <v>7</v>
      </c>
      <c r="D24" s="6"/>
      <c r="E24" s="6"/>
      <c r="F24" s="67" t="s">
        <v>35</v>
      </c>
      <c r="G24" s="66"/>
      <c r="H24" s="66"/>
      <c r="I24" s="66"/>
      <c r="J24" s="66"/>
      <c r="L24" s="41"/>
      <c r="M24" s="38"/>
      <c r="N24" s="39"/>
      <c r="O24" s="36"/>
      <c r="P24" s="37"/>
      <c r="Q24" s="42"/>
      <c r="R24" s="36"/>
      <c r="S24" s="36"/>
      <c r="T24" s="37"/>
      <c r="U24" s="37"/>
      <c r="V24" s="37"/>
      <c r="W24" s="37"/>
      <c r="X24" s="37"/>
      <c r="Y24" s="37"/>
      <c r="Z24" s="37"/>
      <c r="AA24" s="37"/>
      <c r="AB24" s="6"/>
      <c r="AE24" s="36"/>
      <c r="AF24" s="50"/>
      <c r="AG24" s="35"/>
      <c r="AH24" s="35"/>
      <c r="AI24" s="35"/>
      <c r="AJ24" s="35"/>
      <c r="AK24" s="35"/>
      <c r="AL24" s="37"/>
      <c r="AM24" s="37"/>
    </row>
    <row r="25" spans="1:39" ht="14.25" x14ac:dyDescent="0.2">
      <c r="A25" s="6" t="s">
        <v>15</v>
      </c>
      <c r="B25" s="12">
        <v>1.7</v>
      </c>
      <c r="C25" s="13" t="s">
        <v>16</v>
      </c>
      <c r="D25" s="6"/>
      <c r="E25" s="6"/>
      <c r="F25" s="66"/>
      <c r="G25" s="66"/>
      <c r="H25" s="66"/>
      <c r="I25" s="7"/>
      <c r="L25" s="41"/>
      <c r="M25" s="38"/>
      <c r="N25" s="39"/>
      <c r="O25" s="36"/>
      <c r="P25" s="37"/>
      <c r="Q25" s="42"/>
      <c r="R25" s="39"/>
      <c r="S25" s="36"/>
      <c r="T25" s="37"/>
      <c r="U25" s="37"/>
      <c r="V25" s="37"/>
      <c r="W25" s="37"/>
      <c r="X25" s="37"/>
      <c r="Y25" s="37"/>
      <c r="Z25" s="37"/>
      <c r="AA25" s="37"/>
      <c r="AB25" s="6"/>
      <c r="AE25" s="36"/>
      <c r="AF25" s="37"/>
      <c r="AG25" s="38"/>
      <c r="AH25" s="37"/>
      <c r="AI25" s="38"/>
      <c r="AJ25" s="37"/>
      <c r="AK25" s="38"/>
      <c r="AL25" s="37"/>
      <c r="AM25" s="37"/>
    </row>
    <row r="26" spans="1:39" x14ac:dyDescent="0.2">
      <c r="D26" s="6"/>
      <c r="E26" s="6"/>
      <c r="F26" s="68"/>
      <c r="G26" s="68"/>
      <c r="H26" s="68"/>
      <c r="I26" s="7"/>
      <c r="L26" s="41"/>
      <c r="M26" s="38"/>
      <c r="N26" s="39"/>
      <c r="O26" s="36"/>
      <c r="P26" s="37"/>
      <c r="Q26" s="42"/>
      <c r="R26" s="36"/>
      <c r="S26" s="36"/>
      <c r="T26" s="37"/>
      <c r="U26" s="37"/>
      <c r="V26" s="37"/>
      <c r="W26" s="37"/>
      <c r="X26" s="37"/>
      <c r="Y26" s="37"/>
      <c r="Z26" s="37"/>
      <c r="AA26" s="37"/>
      <c r="AB26" s="6"/>
      <c r="AE26" s="36"/>
      <c r="AF26" s="38"/>
      <c r="AG26" s="38"/>
      <c r="AH26" s="38"/>
      <c r="AI26" s="38"/>
      <c r="AJ26" s="38"/>
      <c r="AK26" s="38"/>
      <c r="AL26" s="37"/>
      <c r="AM26" s="37"/>
    </row>
    <row r="27" spans="1:39" x14ac:dyDescent="0.2">
      <c r="D27" s="6"/>
      <c r="E27" s="6"/>
      <c r="I27" s="7"/>
      <c r="L27" s="41"/>
      <c r="M27" s="39"/>
      <c r="N27" s="39"/>
      <c r="O27" s="36"/>
      <c r="P27" s="37"/>
      <c r="Q27" s="42"/>
      <c r="R27" s="39"/>
      <c r="S27" s="36"/>
      <c r="T27" s="37"/>
      <c r="U27" s="37"/>
      <c r="V27" s="37"/>
      <c r="W27" s="37"/>
      <c r="X27" s="37"/>
      <c r="Y27" s="37"/>
      <c r="Z27" s="37"/>
      <c r="AA27" s="37"/>
      <c r="AB27" s="6"/>
      <c r="AE27" s="36"/>
      <c r="AF27" s="37"/>
      <c r="AG27" s="38"/>
      <c r="AH27" s="37"/>
      <c r="AI27" s="38"/>
      <c r="AJ27" s="37"/>
      <c r="AK27" s="38"/>
      <c r="AL27" s="37"/>
      <c r="AM27" s="37"/>
    </row>
    <row r="28" spans="1:39" x14ac:dyDescent="0.2">
      <c r="A28" s="58" t="s">
        <v>28</v>
      </c>
      <c r="B28" s="11"/>
      <c r="C28" s="9"/>
      <c r="E28" s="6"/>
      <c r="F28" s="1" t="s">
        <v>80</v>
      </c>
      <c r="I28" s="18"/>
      <c r="L28" s="26" t="s">
        <v>30</v>
      </c>
      <c r="M28" s="30"/>
      <c r="N28" s="39"/>
      <c r="O28" s="36"/>
      <c r="P28" s="36"/>
      <c r="Q28" s="36"/>
      <c r="R28" s="36"/>
      <c r="S28" s="36"/>
      <c r="T28" s="37"/>
      <c r="U28" s="37"/>
      <c r="V28" s="37"/>
      <c r="W28" s="37"/>
      <c r="X28" s="37"/>
      <c r="Y28" s="37"/>
      <c r="Z28" s="37"/>
      <c r="AA28" s="37"/>
      <c r="AB28" s="6"/>
      <c r="AE28" s="36"/>
      <c r="AF28" s="37"/>
      <c r="AG28" s="38"/>
      <c r="AH28" s="37"/>
      <c r="AI28" s="38"/>
      <c r="AJ28" s="37"/>
      <c r="AK28" s="38"/>
      <c r="AL28" s="37"/>
      <c r="AM28" s="37"/>
    </row>
    <row r="29" spans="1:39" ht="15.75" x14ac:dyDescent="0.25">
      <c r="B29" s="6" t="s">
        <v>29</v>
      </c>
      <c r="C29" s="6" t="s">
        <v>13</v>
      </c>
      <c r="D29" s="6"/>
      <c r="E29" s="6"/>
      <c r="F29" s="15">
        <f>(G17*G14*B41*B40/1000)/(G14*B41*B40/1000+B43)</f>
        <v>213.3197442171016</v>
      </c>
      <c r="G29" s="1" t="s">
        <v>20</v>
      </c>
      <c r="I29" s="18"/>
      <c r="L29" s="26" t="s">
        <v>31</v>
      </c>
      <c r="M29" s="31"/>
      <c r="N29" s="39"/>
      <c r="O29" s="36"/>
      <c r="P29" s="69"/>
      <c r="Q29" s="70"/>
      <c r="R29" s="70"/>
      <c r="S29" s="36"/>
      <c r="T29" s="37"/>
      <c r="U29" s="37"/>
      <c r="V29" s="37"/>
      <c r="W29" s="37"/>
      <c r="X29" s="37"/>
      <c r="Y29" s="37"/>
      <c r="Z29" s="37"/>
      <c r="AA29" s="37"/>
      <c r="AB29" s="6"/>
      <c r="AE29" s="36"/>
      <c r="AF29" s="38"/>
      <c r="AG29" s="38"/>
      <c r="AH29" s="38"/>
      <c r="AI29" s="38"/>
      <c r="AJ29" s="38"/>
      <c r="AK29" s="38"/>
      <c r="AL29" s="37"/>
      <c r="AM29" s="37"/>
    </row>
    <row r="30" spans="1:39" x14ac:dyDescent="0.2">
      <c r="A30" s="6" t="s">
        <v>81</v>
      </c>
      <c r="B30" s="12">
        <v>25</v>
      </c>
      <c r="C30" s="61">
        <f>2700*B30/10000*0.24</f>
        <v>1.6199999999999999</v>
      </c>
      <c r="D30" s="6"/>
      <c r="E30" s="6"/>
      <c r="F30" s="1" t="s">
        <v>80</v>
      </c>
      <c r="I30" s="18"/>
      <c r="K30" s="32"/>
      <c r="L30" s="41"/>
      <c r="M30" s="38"/>
      <c r="N30" s="39"/>
      <c r="O30" s="36"/>
      <c r="P30" s="70"/>
      <c r="Q30" s="70"/>
      <c r="R30" s="70"/>
      <c r="S30" s="36"/>
      <c r="T30" s="37"/>
      <c r="U30" s="37"/>
      <c r="V30" s="37"/>
      <c r="W30" s="37"/>
      <c r="X30" s="37"/>
      <c r="Y30" s="37"/>
      <c r="Z30" s="37"/>
      <c r="AA30" s="37"/>
      <c r="AB30" s="6"/>
      <c r="AE30" s="36"/>
      <c r="AF30" s="37"/>
      <c r="AG30" s="38"/>
      <c r="AH30" s="37"/>
      <c r="AI30" s="38"/>
      <c r="AJ30" s="37"/>
      <c r="AK30" s="38"/>
      <c r="AL30" s="37"/>
      <c r="AM30" s="37"/>
    </row>
    <row r="31" spans="1:39" x14ac:dyDescent="0.2">
      <c r="A31" s="6" t="s">
        <v>82</v>
      </c>
      <c r="B31" s="12">
        <v>25</v>
      </c>
      <c r="C31" s="61">
        <f>8960*B31/10000*0.138</f>
        <v>3.0912000000000002</v>
      </c>
      <c r="D31" s="6"/>
      <c r="E31" s="24"/>
      <c r="F31" s="15">
        <f>(G17*SUM(G8:G12)*B41*B40/1000)/((B35*2+SUM(I8:I11)*B40)/10000*B42)</f>
        <v>417.57516589238293</v>
      </c>
      <c r="G31" s="1" t="s">
        <v>25</v>
      </c>
      <c r="I31" s="18"/>
      <c r="L31" s="37"/>
      <c r="M31" s="38"/>
      <c r="N31" s="39"/>
      <c r="O31" s="36"/>
      <c r="P31" s="36"/>
      <c r="Q31" s="36"/>
      <c r="R31" s="36"/>
      <c r="S31" s="37"/>
      <c r="T31" s="37"/>
      <c r="U31" s="37"/>
      <c r="V31" s="37"/>
      <c r="W31" s="37"/>
      <c r="X31" s="37"/>
      <c r="Y31" s="36"/>
      <c r="Z31" s="36"/>
      <c r="AA31" s="36"/>
      <c r="AF31" s="6"/>
      <c r="AG31" s="14"/>
      <c r="AH31" s="6"/>
      <c r="AI31" s="14"/>
      <c r="AJ31" s="6"/>
      <c r="AK31" s="14"/>
      <c r="AL31" s="6"/>
      <c r="AM31" s="6"/>
    </row>
    <row r="32" spans="1:39" x14ac:dyDescent="0.2">
      <c r="E32" s="24"/>
      <c r="I32" s="18"/>
      <c r="L32" s="37"/>
      <c r="M32" s="37"/>
      <c r="N32" s="36"/>
      <c r="O32" s="36"/>
      <c r="P32" s="36"/>
      <c r="Q32" s="36"/>
      <c r="R32" s="36"/>
      <c r="S32" s="37"/>
      <c r="T32" s="37"/>
      <c r="U32" s="37"/>
      <c r="V32" s="37"/>
      <c r="W32" s="37"/>
      <c r="X32" s="37"/>
      <c r="Y32" s="36"/>
      <c r="Z32" s="36"/>
      <c r="AA32" s="36"/>
    </row>
    <row r="33" spans="1:27" x14ac:dyDescent="0.2">
      <c r="A33" s="58" t="s">
        <v>32</v>
      </c>
      <c r="B33" s="11"/>
      <c r="C33" s="9"/>
      <c r="E33" s="24"/>
      <c r="F33" s="6" t="s">
        <v>85</v>
      </c>
      <c r="I33" s="18"/>
      <c r="J33" s="33"/>
      <c r="L33" s="37"/>
      <c r="M33" s="37"/>
      <c r="N33" s="36"/>
      <c r="O33" s="36"/>
      <c r="P33" s="36"/>
      <c r="Q33" s="36"/>
      <c r="R33" s="36"/>
      <c r="S33" s="37"/>
      <c r="T33" s="37"/>
      <c r="U33" s="37"/>
      <c r="V33" s="37"/>
      <c r="W33" s="37"/>
      <c r="X33" s="37"/>
      <c r="Y33" s="36"/>
      <c r="Z33" s="36"/>
      <c r="AA33" s="36"/>
    </row>
    <row r="34" spans="1:27" ht="12.75" customHeight="1" x14ac:dyDescent="0.2">
      <c r="A34" s="6" t="s">
        <v>83</v>
      </c>
      <c r="B34" s="12">
        <v>1.5</v>
      </c>
      <c r="C34" s="13" t="s">
        <v>16</v>
      </c>
      <c r="E34" s="24"/>
      <c r="F34" s="64">
        <f>SUM(H8:H10)</f>
        <v>85.318769753141495</v>
      </c>
      <c r="I34" s="18"/>
      <c r="J34" s="6"/>
      <c r="L34" s="37"/>
      <c r="M34" s="43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x14ac:dyDescent="0.2">
      <c r="A35" s="6" t="s">
        <v>84</v>
      </c>
      <c r="B35" s="12">
        <v>120</v>
      </c>
      <c r="C35" s="13" t="s">
        <v>7</v>
      </c>
      <c r="E35" s="24"/>
      <c r="F35" s="6" t="s">
        <v>88</v>
      </c>
      <c r="I35" s="18"/>
      <c r="J35" s="6"/>
      <c r="K35" s="13"/>
      <c r="L35" s="37"/>
      <c r="M35" s="43"/>
      <c r="N35" s="36"/>
      <c r="O35" s="39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x14ac:dyDescent="0.2">
      <c r="A36" s="6" t="s">
        <v>59</v>
      </c>
      <c r="B36" s="59">
        <f>(C30+C31)*0.25/1000</f>
        <v>1.1777999999999999E-3</v>
      </c>
      <c r="C36" s="13" t="s">
        <v>61</v>
      </c>
      <c r="E36" s="6"/>
      <c r="F36" s="64">
        <f>SUM(H11:H13)</f>
        <v>14.681230246858497</v>
      </c>
      <c r="H36" s="25">
        <f>F29</f>
        <v>213.3197442171016</v>
      </c>
      <c r="I36" s="25">
        <f>F36</f>
        <v>14.681230246858497</v>
      </c>
      <c r="J36" s="25"/>
      <c r="K36" s="25"/>
      <c r="L36" s="37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x14ac:dyDescent="0.2">
      <c r="A37" s="6" t="s">
        <v>60</v>
      </c>
      <c r="B37" s="60">
        <v>7.5999999999999998E-2</v>
      </c>
      <c r="C37" s="1" t="s">
        <v>61</v>
      </c>
      <c r="I37" s="18"/>
      <c r="K37" s="2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x14ac:dyDescent="0.2">
      <c r="A38" s="6" t="s">
        <v>63</v>
      </c>
      <c r="B38" s="60">
        <v>5</v>
      </c>
      <c r="C38" s="1" t="s">
        <v>64</v>
      </c>
      <c r="I38" s="18"/>
      <c r="K38" s="2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x14ac:dyDescent="0.2">
      <c r="A39" s="6" t="s">
        <v>62</v>
      </c>
      <c r="B39" s="60">
        <v>7</v>
      </c>
      <c r="C39" s="1" t="s">
        <v>64</v>
      </c>
      <c r="I39" s="18"/>
      <c r="K39" s="2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x14ac:dyDescent="0.2">
      <c r="A40" s="6" t="s">
        <v>69</v>
      </c>
      <c r="B40" s="60">
        <v>9</v>
      </c>
      <c r="I40" s="18"/>
      <c r="K40" s="2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ht="14.25" x14ac:dyDescent="0.2">
      <c r="A41" s="6" t="s">
        <v>68</v>
      </c>
      <c r="B41" s="59">
        <f>B39*B38</f>
        <v>35</v>
      </c>
      <c r="C41" s="13" t="s">
        <v>66</v>
      </c>
      <c r="I41" s="18"/>
      <c r="K41" s="2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ht="14.25" x14ac:dyDescent="0.2">
      <c r="A42" s="6" t="s">
        <v>65</v>
      </c>
      <c r="B42" s="59">
        <f>(B38+0.2)*(B39+0.2)</f>
        <v>37.440000000000005</v>
      </c>
      <c r="C42" s="13" t="s">
        <v>66</v>
      </c>
      <c r="I42" s="18"/>
      <c r="K42" s="2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x14ac:dyDescent="0.2">
      <c r="A43" s="6" t="s">
        <v>67</v>
      </c>
      <c r="B43" s="59">
        <f>B34*B35*0.0001*B42*2+B36+B37*2</f>
        <v>1.5010178000000003</v>
      </c>
      <c r="C43" s="1" t="s">
        <v>61</v>
      </c>
      <c r="I43" s="18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x14ac:dyDescent="0.2">
      <c r="H44" s="1">
        <v>94.248612958820942</v>
      </c>
      <c r="I44" s="1">
        <v>45.257889310805567</v>
      </c>
      <c r="L44" s="36"/>
      <c r="M44" s="36"/>
      <c r="N44" s="36"/>
      <c r="O44" s="38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x14ac:dyDescent="0.2">
      <c r="A45" s="58" t="s">
        <v>48</v>
      </c>
      <c r="B45" s="9"/>
      <c r="C45" s="9"/>
      <c r="H45" s="1">
        <v>147.71051587712017</v>
      </c>
      <c r="I45" s="1">
        <v>31.247600316116504</v>
      </c>
      <c r="L45" s="36"/>
      <c r="M45" s="36"/>
      <c r="N45" s="36"/>
      <c r="O45" s="38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x14ac:dyDescent="0.2">
      <c r="A46" s="6" t="s">
        <v>49</v>
      </c>
      <c r="B46" s="12">
        <v>145</v>
      </c>
      <c r="C46" s="13" t="s">
        <v>9</v>
      </c>
      <c r="H46" s="1">
        <v>171.48910931985898</v>
      </c>
      <c r="I46" s="1">
        <v>24.835229380595639</v>
      </c>
      <c r="L46" s="36"/>
      <c r="M46" s="36"/>
      <c r="N46" s="36"/>
      <c r="O46" s="38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x14ac:dyDescent="0.2">
      <c r="A47" s="6" t="s">
        <v>50</v>
      </c>
      <c r="B47" s="12">
        <v>70.5</v>
      </c>
      <c r="C47" s="13" t="s">
        <v>6</v>
      </c>
      <c r="H47" s="1">
        <v>184.30068734952593</v>
      </c>
      <c r="I47" s="1">
        <v>21.158553341719223</v>
      </c>
      <c r="L47" s="36"/>
      <c r="M47" s="36"/>
      <c r="N47" s="36"/>
      <c r="O47" s="42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1:27" x14ac:dyDescent="0.2">
      <c r="A48" s="6" t="s">
        <v>51</v>
      </c>
      <c r="B48" s="12">
        <v>97</v>
      </c>
      <c r="C48" s="1" t="s">
        <v>6</v>
      </c>
      <c r="H48" s="1">
        <v>192.19008711142462</v>
      </c>
      <c r="I48" s="1">
        <v>18.774676987882078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1:27" ht="14.25" x14ac:dyDescent="0.2">
      <c r="A49" s="6" t="s">
        <v>54</v>
      </c>
      <c r="B49" s="12">
        <v>3.04</v>
      </c>
      <c r="C49" s="13" t="s">
        <v>16</v>
      </c>
      <c r="H49" s="1">
        <v>197.50251413018083</v>
      </c>
      <c r="I49" s="1">
        <v>17.103689948034493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1:27" x14ac:dyDescent="0.2">
      <c r="A50" s="6"/>
      <c r="B50" s="6"/>
      <c r="C50" s="13"/>
      <c r="H50" s="1">
        <v>201.31099921507575</v>
      </c>
      <c r="I50" s="1">
        <v>15.867407017600991</v>
      </c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1:27" x14ac:dyDescent="0.2">
      <c r="A51" s="6" t="s">
        <v>77</v>
      </c>
      <c r="B51" s="12">
        <v>19</v>
      </c>
      <c r="C51" s="1" t="s">
        <v>6</v>
      </c>
      <c r="H51" s="1">
        <v>204.16983623422141</v>
      </c>
      <c r="I51" s="1">
        <v>14.915721949811793</v>
      </c>
    </row>
    <row r="52" spans="1:27" ht="14.25" x14ac:dyDescent="0.2">
      <c r="A52" s="6" t="s">
        <v>76</v>
      </c>
      <c r="B52" s="12">
        <v>1.7</v>
      </c>
      <c r="C52" s="13" t="s">
        <v>16</v>
      </c>
      <c r="H52" s="1">
        <v>206.39242112356689</v>
      </c>
      <c r="I52" s="1">
        <v>14.160505110509494</v>
      </c>
    </row>
    <row r="53" spans="1:27" x14ac:dyDescent="0.2">
      <c r="A53" s="6"/>
      <c r="B53" s="6"/>
      <c r="C53" s="13"/>
      <c r="H53" s="1">
        <v>208.16864852249387</v>
      </c>
      <c r="I53" s="1">
        <v>13.54660973392582</v>
      </c>
    </row>
    <row r="54" spans="1:27" x14ac:dyDescent="0.2">
      <c r="A54" s="6" t="s">
        <v>52</v>
      </c>
      <c r="B54" s="12">
        <v>3</v>
      </c>
      <c r="C54" s="1" t="s">
        <v>6</v>
      </c>
      <c r="P54" s="25"/>
    </row>
    <row r="55" spans="1:27" ht="14.25" x14ac:dyDescent="0.2">
      <c r="A55" s="6" t="s">
        <v>55</v>
      </c>
      <c r="B55" s="12">
        <v>2.2000000000000002</v>
      </c>
      <c r="C55" s="13" t="s">
        <v>16</v>
      </c>
    </row>
    <row r="56" spans="1:27" x14ac:dyDescent="0.2">
      <c r="A56" s="6"/>
      <c r="B56" s="6"/>
      <c r="C56" s="13"/>
    </row>
    <row r="57" spans="1:27" x14ac:dyDescent="0.2">
      <c r="A57" s="6" t="s">
        <v>56</v>
      </c>
      <c r="B57" s="12">
        <v>1.5</v>
      </c>
      <c r="C57" s="1" t="s">
        <v>6</v>
      </c>
    </row>
    <row r="58" spans="1:27" ht="14.25" x14ac:dyDescent="0.2">
      <c r="A58" s="6" t="s">
        <v>57</v>
      </c>
      <c r="B58" s="12">
        <v>2.2000000000000002</v>
      </c>
      <c r="C58" s="13" t="s">
        <v>16</v>
      </c>
    </row>
    <row r="59" spans="1:27" x14ac:dyDescent="0.2">
      <c r="L59" s="6"/>
    </row>
    <row r="60" spans="1:27" ht="14.25" x14ac:dyDescent="0.2">
      <c r="A60" s="6" t="s">
        <v>53</v>
      </c>
      <c r="B60" s="59">
        <f>(B47*B49+B51*B52+B54*B55+B57*B58)/100</f>
        <v>2.5651999999999999</v>
      </c>
      <c r="C60" s="13" t="s">
        <v>16</v>
      </c>
      <c r="L60" s="6"/>
    </row>
    <row r="61" spans="1:27" x14ac:dyDescent="0.2">
      <c r="L61" s="6"/>
    </row>
    <row r="62" spans="1:27" x14ac:dyDescent="0.2">
      <c r="L62" s="6"/>
    </row>
    <row r="63" spans="1:27" x14ac:dyDescent="0.2">
      <c r="L63" s="6"/>
    </row>
    <row r="64" spans="1:27" x14ac:dyDescent="0.2">
      <c r="L64" s="6"/>
    </row>
    <row r="65" spans="12:12" x14ac:dyDescent="0.2">
      <c r="L65" s="6"/>
    </row>
    <row r="66" spans="12:12" x14ac:dyDescent="0.2">
      <c r="L66" s="6"/>
    </row>
  </sheetData>
  <mergeCells count="9">
    <mergeCell ref="I23:J24"/>
    <mergeCell ref="F24:H26"/>
    <mergeCell ref="P29:R30"/>
    <mergeCell ref="A4:C4"/>
    <mergeCell ref="F4:I4"/>
    <mergeCell ref="L4:N6"/>
    <mergeCell ref="P4:R4"/>
    <mergeCell ref="G6:G7"/>
    <mergeCell ref="F16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D23A-FC60-4AC3-893A-CA739EA1318D}">
  <dimension ref="A1:AM66"/>
  <sheetViews>
    <sheetView topLeftCell="A4" workbookViewId="0">
      <selection activeCell="F45" sqref="F45"/>
    </sheetView>
  </sheetViews>
  <sheetFormatPr defaultColWidth="8.85546875" defaultRowHeight="12.75" x14ac:dyDescent="0.2"/>
  <cols>
    <col min="1" max="1" width="26.85546875" style="1" bestFit="1" customWidth="1"/>
    <col min="2" max="2" width="12.42578125" style="1" bestFit="1" customWidth="1"/>
    <col min="3" max="3" width="9" style="1" customWidth="1"/>
    <col min="4" max="4" width="1.140625" style="1" customWidth="1"/>
    <col min="5" max="5" width="1.7109375" style="1" customWidth="1"/>
    <col min="6" max="6" width="18.7109375" style="1" customWidth="1"/>
    <col min="7" max="7" width="10.28515625" style="1" customWidth="1"/>
    <col min="8" max="8" width="8.85546875" style="1"/>
    <col min="9" max="9" width="10.42578125" style="1" customWidth="1"/>
    <col min="10" max="10" width="7.85546875" style="1" bestFit="1" customWidth="1"/>
    <col min="11" max="11" width="2.42578125" style="1" customWidth="1"/>
    <col min="12" max="12" width="25.42578125" style="1" customWidth="1"/>
    <col min="13" max="13" width="9.140625" style="1" bestFit="1" customWidth="1"/>
    <col min="14" max="14" width="9.42578125" style="1" customWidth="1"/>
    <col min="15" max="15" width="8.42578125" style="1" customWidth="1"/>
    <col min="16" max="16" width="22.7109375" style="1" customWidth="1"/>
    <col min="17" max="16384" width="8.85546875" style="1"/>
  </cols>
  <sheetData>
    <row r="1" spans="1:39" ht="27.75" x14ac:dyDescent="0.4">
      <c r="F1" s="3"/>
      <c r="G1" s="2" t="s">
        <v>37</v>
      </c>
      <c r="M1" s="4"/>
    </row>
    <row r="2" spans="1:39" ht="17.25" customHeight="1" x14ac:dyDescent="0.2">
      <c r="E2" s="4"/>
    </row>
    <row r="3" spans="1:39" ht="20.25" x14ac:dyDescent="0.3">
      <c r="A3" s="5" t="s">
        <v>0</v>
      </c>
      <c r="E3" s="4"/>
      <c r="F3" s="5" t="s">
        <v>34</v>
      </c>
      <c r="G3" s="5"/>
      <c r="H3" s="5"/>
      <c r="I3" s="5"/>
      <c r="L3" s="5" t="s">
        <v>36</v>
      </c>
      <c r="P3" s="5" t="s">
        <v>33</v>
      </c>
    </row>
    <row r="4" spans="1:39" ht="39" customHeight="1" x14ac:dyDescent="0.25">
      <c r="A4" s="71" t="s">
        <v>1</v>
      </c>
      <c r="B4" s="72"/>
      <c r="C4" s="72"/>
      <c r="E4" s="4"/>
      <c r="F4" s="71" t="s">
        <v>2</v>
      </c>
      <c r="G4" s="71"/>
      <c r="H4" s="71"/>
      <c r="I4" s="68"/>
      <c r="L4" s="73" t="s">
        <v>38</v>
      </c>
      <c r="M4" s="73"/>
      <c r="N4" s="73"/>
      <c r="P4" s="73" t="s">
        <v>39</v>
      </c>
      <c r="Q4" s="73"/>
      <c r="R4" s="73"/>
    </row>
    <row r="5" spans="1:39" ht="12.75" customHeight="1" x14ac:dyDescent="0.2">
      <c r="E5" s="4"/>
      <c r="F5" s="6"/>
      <c r="I5" s="7"/>
      <c r="L5" s="68"/>
      <c r="M5" s="68"/>
      <c r="N5" s="68"/>
      <c r="P5" s="10"/>
      <c r="Q5" s="6"/>
      <c r="V5" s="1">
        <v>0</v>
      </c>
    </row>
    <row r="6" spans="1:39" x14ac:dyDescent="0.2">
      <c r="E6" s="4"/>
      <c r="F6" s="6"/>
      <c r="G6" s="65" t="s">
        <v>3</v>
      </c>
      <c r="I6" s="8" t="s">
        <v>4</v>
      </c>
      <c r="L6" s="68"/>
      <c r="M6" s="68"/>
      <c r="N6" s="68"/>
      <c r="O6" s="36"/>
      <c r="P6" s="37"/>
      <c r="Q6" s="38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39" x14ac:dyDescent="0.2">
      <c r="A7" s="58" t="s">
        <v>58</v>
      </c>
      <c r="B7" s="9"/>
      <c r="C7" s="9"/>
      <c r="F7" s="58" t="s">
        <v>87</v>
      </c>
      <c r="G7" s="74"/>
      <c r="H7" s="58" t="s">
        <v>6</v>
      </c>
      <c r="I7" s="10" t="s">
        <v>7</v>
      </c>
      <c r="J7" s="10" t="s">
        <v>6</v>
      </c>
      <c r="M7" s="37"/>
      <c r="N7" s="36"/>
      <c r="O7" s="36"/>
      <c r="P7" s="37"/>
      <c r="Q7" s="38"/>
      <c r="R7" s="36"/>
      <c r="S7" s="36"/>
      <c r="T7" s="36"/>
      <c r="U7" s="36"/>
      <c r="V7" s="36"/>
      <c r="W7" s="36"/>
      <c r="X7" s="36"/>
      <c r="Y7" s="36"/>
      <c r="Z7" s="36"/>
      <c r="AA7" s="36"/>
      <c r="AE7" s="36"/>
      <c r="AF7" s="36"/>
      <c r="AG7" s="36"/>
      <c r="AH7" s="36"/>
      <c r="AI7" s="36"/>
      <c r="AJ7" s="36"/>
      <c r="AK7" s="36"/>
      <c r="AL7" s="36"/>
      <c r="AM7" s="36"/>
    </row>
    <row r="8" spans="1:39" x14ac:dyDescent="0.2">
      <c r="A8" s="6" t="s">
        <v>8</v>
      </c>
      <c r="B8" s="62">
        <f>B46*B47*B48/10000</f>
        <v>99.158249999999995</v>
      </c>
      <c r="C8" s="13" t="s">
        <v>9</v>
      </c>
      <c r="D8" s="6"/>
      <c r="F8" s="6" t="s">
        <v>5</v>
      </c>
      <c r="G8" s="14">
        <f>B10</f>
        <v>35</v>
      </c>
      <c r="H8" s="15">
        <f>G8*B$40/$G$14*100</f>
        <v>49.627485892759566</v>
      </c>
      <c r="I8" s="16">
        <f>B12</f>
        <v>136.6546931126035</v>
      </c>
      <c r="J8" s="17">
        <f>I8/I$14*100</f>
        <v>28.676258652223709</v>
      </c>
      <c r="M8" s="37"/>
      <c r="N8" s="36"/>
      <c r="O8" s="36"/>
      <c r="P8" s="37"/>
      <c r="Q8" s="38"/>
      <c r="R8" s="36"/>
      <c r="S8" s="36"/>
      <c r="T8" s="36"/>
      <c r="U8" s="36"/>
      <c r="V8" s="36"/>
      <c r="W8" s="36"/>
      <c r="X8" s="36"/>
      <c r="Y8" s="36"/>
      <c r="Z8" s="36"/>
      <c r="AA8" s="36"/>
      <c r="AE8" s="36"/>
      <c r="AF8" s="44"/>
      <c r="AG8" s="35"/>
      <c r="AH8" s="35"/>
      <c r="AI8" s="35"/>
      <c r="AJ8" s="35"/>
      <c r="AK8" s="36"/>
      <c r="AL8" s="36"/>
      <c r="AM8" s="36"/>
    </row>
    <row r="9" spans="1:39" x14ac:dyDescent="0.2">
      <c r="A9" s="6" t="s">
        <v>42</v>
      </c>
      <c r="B9" s="12">
        <v>4.2</v>
      </c>
      <c r="C9" s="13" t="s">
        <v>10</v>
      </c>
      <c r="D9" s="6"/>
      <c r="E9" s="6"/>
      <c r="F9" s="6" t="s">
        <v>11</v>
      </c>
      <c r="G9" s="14">
        <f>B18</f>
        <v>11.784511884550083</v>
      </c>
      <c r="H9" s="15">
        <f t="shared" ref="H9:H12" si="0">G9*B$40/$G$14*100</f>
        <v>16.709591351530477</v>
      </c>
      <c r="I9" s="14">
        <f>B18/B19*10/0.95</f>
        <v>54.888271469725595</v>
      </c>
      <c r="J9" s="15">
        <f>I9/I$14*100</f>
        <v>11.518011081714945</v>
      </c>
      <c r="M9" s="37"/>
      <c r="N9" s="36"/>
      <c r="O9" s="36"/>
      <c r="P9" s="37"/>
      <c r="Q9" s="37"/>
      <c r="R9" s="36"/>
      <c r="S9" s="36"/>
      <c r="T9" s="36"/>
      <c r="U9" s="36"/>
      <c r="V9" s="36"/>
      <c r="W9" s="36"/>
      <c r="X9" s="36"/>
      <c r="Y9" s="36"/>
      <c r="Z9" s="36"/>
      <c r="AA9" s="36"/>
      <c r="AE9" s="36"/>
      <c r="AF9" s="36"/>
      <c r="AG9" s="45"/>
      <c r="AH9" s="37"/>
      <c r="AI9" s="46"/>
      <c r="AJ9" s="46"/>
      <c r="AK9" s="36"/>
      <c r="AL9" s="36"/>
      <c r="AM9" s="36"/>
    </row>
    <row r="10" spans="1:39" ht="14.25" x14ac:dyDescent="0.2">
      <c r="A10" s="6" t="s">
        <v>79</v>
      </c>
      <c r="B10" s="12">
        <v>35</v>
      </c>
      <c r="C10" s="13" t="s">
        <v>13</v>
      </c>
      <c r="D10" s="6"/>
      <c r="E10" s="6"/>
      <c r="F10" s="6" t="s">
        <v>14</v>
      </c>
      <c r="G10" s="14">
        <f>B25*B24/10000*1000</f>
        <v>10.5</v>
      </c>
      <c r="H10" s="15">
        <f t="shared" si="0"/>
        <v>14.88824576782787</v>
      </c>
      <c r="I10" s="14">
        <f>B24</f>
        <v>60</v>
      </c>
      <c r="J10" s="15">
        <f>I10/I$14*100</f>
        <v>12.590680056012914</v>
      </c>
      <c r="M10" s="37"/>
      <c r="N10" s="36"/>
      <c r="O10" s="36"/>
      <c r="P10" s="35"/>
      <c r="Q10" s="37"/>
      <c r="R10" s="36"/>
      <c r="S10" s="36"/>
      <c r="T10" s="36"/>
      <c r="U10" s="36"/>
      <c r="V10" s="36"/>
      <c r="W10" s="36"/>
      <c r="X10" s="36"/>
      <c r="Y10" s="36"/>
      <c r="Z10" s="36"/>
      <c r="AA10" s="36"/>
      <c r="AE10" s="36"/>
      <c r="AF10" s="36"/>
      <c r="AG10" s="45"/>
      <c r="AH10" s="37"/>
      <c r="AI10" s="46"/>
      <c r="AJ10" s="46"/>
      <c r="AK10" s="36"/>
      <c r="AL10" s="36"/>
      <c r="AM10" s="36"/>
    </row>
    <row r="11" spans="1:39" ht="14.25" x14ac:dyDescent="0.2">
      <c r="A11" s="6" t="s">
        <v>15</v>
      </c>
      <c r="B11" s="34">
        <f>B60</f>
        <v>2.5611999999999999</v>
      </c>
      <c r="C11" s="13" t="s">
        <v>16</v>
      </c>
      <c r="D11" s="6"/>
      <c r="E11" s="6"/>
      <c r="F11" s="6" t="s">
        <v>40</v>
      </c>
      <c r="G11" s="14">
        <f>C30</f>
        <v>1.6199999999999999</v>
      </c>
      <c r="H11" s="15">
        <f t="shared" si="0"/>
        <v>2.2970436327505857</v>
      </c>
      <c r="I11" s="14">
        <f>B30</f>
        <v>25</v>
      </c>
      <c r="J11" s="15">
        <f>I11/I$14*100</f>
        <v>5.2461166900053815</v>
      </c>
      <c r="L11" s="37"/>
      <c r="M11" s="38"/>
      <c r="N11" s="39"/>
      <c r="O11" s="36"/>
      <c r="P11" s="37"/>
      <c r="Q11" s="37"/>
      <c r="R11" s="36"/>
      <c r="S11" s="36"/>
      <c r="T11" s="36"/>
      <c r="U11" s="36"/>
      <c r="V11" s="36"/>
      <c r="W11" s="36"/>
      <c r="X11" s="36"/>
      <c r="Y11" s="36"/>
      <c r="Z11" s="36"/>
      <c r="AA11" s="36"/>
      <c r="AE11" s="36"/>
      <c r="AF11" s="36"/>
      <c r="AG11" s="45"/>
      <c r="AH11" s="37"/>
      <c r="AI11" s="46"/>
      <c r="AJ11" s="46"/>
      <c r="AK11" s="36"/>
      <c r="AL11" s="36"/>
      <c r="AM11" s="36"/>
    </row>
    <row r="12" spans="1:39" x14ac:dyDescent="0.2">
      <c r="A12" s="6" t="s">
        <v>4</v>
      </c>
      <c r="B12" s="19">
        <f>(B10/1000/B11*10000)</f>
        <v>136.6546931126035</v>
      </c>
      <c r="C12" s="13" t="s">
        <v>7</v>
      </c>
      <c r="D12" s="6"/>
      <c r="E12" s="6"/>
      <c r="F12" s="6" t="s">
        <v>41</v>
      </c>
      <c r="G12" s="14">
        <f>C31</f>
        <v>3.0912000000000002</v>
      </c>
      <c r="H12" s="15">
        <f t="shared" si="0"/>
        <v>4.3830995540485249</v>
      </c>
      <c r="I12" s="20">
        <f>B35*2</f>
        <v>200</v>
      </c>
      <c r="J12" s="21">
        <f>I12/I$14*100</f>
        <v>41.968933520043052</v>
      </c>
      <c r="L12" s="37"/>
      <c r="M12" s="37"/>
      <c r="N12" s="36"/>
      <c r="O12" s="36"/>
      <c r="P12" s="37"/>
      <c r="Q12" s="38"/>
      <c r="R12" s="40"/>
      <c r="S12" s="36"/>
      <c r="T12" s="36"/>
      <c r="U12" s="36"/>
      <c r="V12" s="36"/>
      <c r="W12" s="36"/>
      <c r="X12" s="36"/>
      <c r="Y12" s="36"/>
      <c r="Z12" s="36"/>
      <c r="AA12" s="36"/>
      <c r="AE12" s="36"/>
      <c r="AF12" s="36"/>
      <c r="AG12" s="45"/>
      <c r="AH12" s="37"/>
      <c r="AI12" s="46"/>
      <c r="AJ12" s="46"/>
      <c r="AK12" s="36"/>
      <c r="AL12" s="36"/>
      <c r="AM12" s="36"/>
    </row>
    <row r="13" spans="1:39" ht="12" customHeight="1" x14ac:dyDescent="0.2">
      <c r="A13" s="6"/>
      <c r="B13" s="13"/>
      <c r="C13" s="13"/>
      <c r="D13" s="6"/>
      <c r="E13" s="6"/>
      <c r="F13" s="6" t="s">
        <v>86</v>
      </c>
      <c r="G13" s="1">
        <f>B43/B41*1000</f>
        <v>42.648612499999999</v>
      </c>
      <c r="H13" s="15">
        <f>G13/$G$14*100</f>
        <v>12.094533801082967</v>
      </c>
      <c r="L13" s="35"/>
      <c r="M13" s="37"/>
      <c r="N13" s="36"/>
      <c r="O13" s="36"/>
      <c r="P13" s="37"/>
      <c r="Q13" s="38"/>
      <c r="R13" s="40"/>
      <c r="S13" s="36"/>
      <c r="T13" s="36"/>
      <c r="U13" s="36"/>
      <c r="V13" s="36"/>
      <c r="W13" s="36"/>
      <c r="X13" s="36"/>
      <c r="Y13" s="36"/>
      <c r="Z13" s="36"/>
      <c r="AA13" s="36"/>
      <c r="AE13" s="36"/>
      <c r="AF13" s="36"/>
      <c r="AG13" s="45"/>
      <c r="AH13" s="37"/>
      <c r="AI13" s="46"/>
      <c r="AJ13" s="46"/>
      <c r="AK13" s="36"/>
      <c r="AL13" s="36"/>
      <c r="AM13" s="36"/>
    </row>
    <row r="14" spans="1:39" x14ac:dyDescent="0.2">
      <c r="A14" s="6"/>
      <c r="B14" s="6"/>
      <c r="C14" s="13"/>
      <c r="D14" s="6"/>
      <c r="E14" s="6"/>
      <c r="F14" s="22" t="s">
        <v>17</v>
      </c>
      <c r="G14" s="23">
        <f>SUM(G8:G12)*B40+G13</f>
        <v>352.62717192275045</v>
      </c>
      <c r="H14" s="22"/>
      <c r="I14" s="23">
        <f>SUM(I8:I12)</f>
        <v>476.54296458232909</v>
      </c>
      <c r="K14" s="6"/>
      <c r="L14" s="51" t="s">
        <v>44</v>
      </c>
      <c r="M14" s="51" t="s">
        <v>43</v>
      </c>
      <c r="N14" s="52" t="s">
        <v>47</v>
      </c>
      <c r="O14" s="52"/>
      <c r="P14" s="37"/>
      <c r="Q14" s="38"/>
      <c r="R14" s="40"/>
      <c r="S14" s="36"/>
      <c r="T14" s="36"/>
      <c r="U14" s="36"/>
      <c r="V14" s="36"/>
      <c r="W14" s="36"/>
      <c r="X14" s="36"/>
      <c r="Y14" s="36"/>
      <c r="Z14" s="36"/>
      <c r="AA14" s="36"/>
      <c r="AE14" s="36"/>
      <c r="AF14" s="36"/>
      <c r="AG14" s="45"/>
      <c r="AH14" s="37"/>
      <c r="AI14" s="46"/>
      <c r="AJ14" s="46"/>
      <c r="AK14" s="36"/>
      <c r="AL14" s="36"/>
      <c r="AM14" s="36"/>
    </row>
    <row r="15" spans="1:39" ht="12.75" customHeight="1" x14ac:dyDescent="0.2">
      <c r="A15" s="58" t="s">
        <v>11</v>
      </c>
      <c r="B15" s="9"/>
      <c r="C15" s="9"/>
      <c r="E15" s="6"/>
      <c r="F15" s="24"/>
      <c r="G15" s="24"/>
      <c r="H15" s="24"/>
      <c r="I15" s="24"/>
      <c r="J15" s="25"/>
      <c r="L15" s="51">
        <f>3.14159*M15^2/4</f>
        <v>1.26676762775</v>
      </c>
      <c r="M15" s="51">
        <v>1.27</v>
      </c>
      <c r="N15" s="52"/>
      <c r="O15" s="52"/>
      <c r="P15" s="37"/>
      <c r="Q15" s="38"/>
      <c r="R15" s="40"/>
      <c r="S15" s="36"/>
      <c r="T15" s="36"/>
      <c r="U15" s="36"/>
      <c r="V15" s="36"/>
      <c r="W15" s="36"/>
      <c r="X15" s="36"/>
      <c r="Y15" s="36"/>
      <c r="Z15" s="36"/>
      <c r="AA15" s="36"/>
      <c r="AE15" s="36"/>
      <c r="AF15" s="36"/>
      <c r="AG15" s="47"/>
      <c r="AH15" s="35"/>
      <c r="AI15" s="46"/>
      <c r="AJ15" s="46"/>
      <c r="AK15" s="36"/>
      <c r="AL15" s="36"/>
      <c r="AM15" s="36"/>
    </row>
    <row r="16" spans="1:39" ht="12.75" customHeight="1" x14ac:dyDescent="0.2">
      <c r="A16" s="6" t="s">
        <v>8</v>
      </c>
      <c r="B16" s="12">
        <v>372</v>
      </c>
      <c r="C16" s="13" t="s">
        <v>9</v>
      </c>
      <c r="D16" s="6"/>
      <c r="E16" s="6"/>
      <c r="F16" s="75" t="s">
        <v>18</v>
      </c>
      <c r="G16" s="76"/>
      <c r="H16" s="76"/>
      <c r="I16" s="24"/>
      <c r="J16" s="25"/>
      <c r="L16" s="51"/>
      <c r="M16" s="51"/>
      <c r="N16" s="52"/>
      <c r="O16" s="52"/>
      <c r="P16" s="37"/>
      <c r="Q16" s="38"/>
      <c r="R16" s="40"/>
      <c r="S16" s="36"/>
      <c r="T16" s="36"/>
      <c r="U16" s="36"/>
      <c r="V16" s="36"/>
      <c r="W16" s="36"/>
      <c r="X16" s="36"/>
      <c r="Y16" s="36"/>
      <c r="Z16" s="36"/>
      <c r="AA16" s="36"/>
      <c r="AE16" s="36"/>
      <c r="AF16" s="36"/>
      <c r="AG16" s="48"/>
      <c r="AH16" s="37"/>
      <c r="AI16" s="46"/>
      <c r="AJ16" s="46"/>
      <c r="AK16" s="36"/>
      <c r="AL16" s="36"/>
      <c r="AM16" s="36"/>
    </row>
    <row r="17" spans="1:39" ht="12.75" customHeight="1" x14ac:dyDescent="0.2">
      <c r="A17" s="6" t="s">
        <v>42</v>
      </c>
      <c r="B17" s="12">
        <v>0.2</v>
      </c>
      <c r="C17" s="13" t="s">
        <v>10</v>
      </c>
      <c r="D17" s="6"/>
      <c r="E17" s="6"/>
      <c r="F17" s="6" t="s">
        <v>19</v>
      </c>
      <c r="G17" s="15">
        <f>B8*(B9-B17)*H8/100</f>
        <v>196.83898612102905</v>
      </c>
      <c r="H17" s="1" t="s">
        <v>20</v>
      </c>
      <c r="I17" s="24"/>
      <c r="J17" s="26"/>
      <c r="K17" s="4"/>
      <c r="L17" s="51"/>
      <c r="M17" s="51" t="s">
        <v>45</v>
      </c>
      <c r="N17" s="52" t="s">
        <v>46</v>
      </c>
      <c r="O17" s="52"/>
      <c r="P17" s="37"/>
      <c r="Q17" s="38"/>
      <c r="R17" s="40"/>
      <c r="S17" s="36"/>
      <c r="T17" s="36"/>
      <c r="U17" s="36"/>
      <c r="V17" s="36"/>
      <c r="W17" s="36"/>
      <c r="X17" s="36"/>
      <c r="Y17" s="36"/>
      <c r="Z17" s="36"/>
      <c r="AA17" s="36"/>
      <c r="AE17" s="36"/>
      <c r="AF17" s="36"/>
      <c r="AG17" s="48"/>
      <c r="AH17" s="37"/>
      <c r="AI17" s="46"/>
      <c r="AJ17" s="46"/>
      <c r="AK17" s="36"/>
      <c r="AL17" s="36"/>
      <c r="AM17" s="36"/>
    </row>
    <row r="18" spans="1:39" ht="12.75" customHeight="1" x14ac:dyDescent="0.2">
      <c r="A18" s="6" t="s">
        <v>12</v>
      </c>
      <c r="B18" s="19">
        <f>B8*B10/B16/0.95*B20</f>
        <v>11.784511884550083</v>
      </c>
      <c r="C18" s="13" t="s">
        <v>13</v>
      </c>
      <c r="D18" s="6"/>
      <c r="E18" s="6"/>
      <c r="F18" s="6" t="s">
        <v>21</v>
      </c>
      <c r="G18" s="15">
        <f>B12+B20+B24+0.5*B30+0.5*B31</f>
        <v>222.85469311260348</v>
      </c>
      <c r="H18" s="13" t="s">
        <v>7</v>
      </c>
      <c r="I18" s="24"/>
      <c r="J18" s="26"/>
      <c r="K18" s="4"/>
      <c r="L18" s="51"/>
      <c r="M18" s="51">
        <v>10</v>
      </c>
      <c r="N18" s="53">
        <f>L15*M18</f>
        <v>12.6676762775</v>
      </c>
      <c r="O18" s="52"/>
      <c r="P18" s="38"/>
      <c r="Q18" s="38"/>
      <c r="R18" s="40"/>
      <c r="S18" s="36"/>
      <c r="T18" s="36"/>
      <c r="U18" s="36"/>
      <c r="V18" s="36"/>
      <c r="W18" s="36"/>
      <c r="X18" s="36"/>
      <c r="Y18" s="37"/>
      <c r="Z18" s="37"/>
      <c r="AA18" s="37"/>
      <c r="AB18" s="6"/>
      <c r="AE18" s="36"/>
      <c r="AF18" s="36"/>
      <c r="AG18" s="36"/>
      <c r="AH18" s="36"/>
      <c r="AI18" s="36"/>
      <c r="AJ18" s="36"/>
      <c r="AK18" s="36"/>
      <c r="AL18" s="36"/>
      <c r="AM18" s="36"/>
    </row>
    <row r="19" spans="1:39" ht="14.25" x14ac:dyDescent="0.2">
      <c r="A19" s="6" t="s">
        <v>15</v>
      </c>
      <c r="B19" s="12">
        <v>2.2599999999999998</v>
      </c>
      <c r="C19" s="13" t="s">
        <v>16</v>
      </c>
      <c r="D19" s="6"/>
      <c r="E19" s="6"/>
      <c r="F19" s="6" t="s">
        <v>22</v>
      </c>
      <c r="G19" s="15">
        <f>B8*B10/1000</f>
        <v>3.4705387499999998</v>
      </c>
      <c r="H19" s="13" t="s">
        <v>23</v>
      </c>
      <c r="I19" s="24"/>
      <c r="J19" s="4"/>
      <c r="K19" s="4"/>
      <c r="L19" s="54"/>
      <c r="M19" s="51">
        <v>20</v>
      </c>
      <c r="N19" s="53">
        <f>L15*M19</f>
        <v>25.335352555</v>
      </c>
      <c r="O19" s="52"/>
      <c r="P19" s="36"/>
      <c r="Q19" s="36"/>
      <c r="R19" s="36"/>
      <c r="S19" s="36"/>
      <c r="T19" s="36"/>
      <c r="U19" s="36"/>
      <c r="V19" s="36"/>
      <c r="W19" s="36"/>
      <c r="X19" s="36"/>
      <c r="Y19" s="37"/>
      <c r="Z19" s="37"/>
      <c r="AA19" s="37"/>
      <c r="AB19" s="6"/>
      <c r="AE19" s="36"/>
      <c r="AF19" s="44"/>
      <c r="AG19" s="36"/>
      <c r="AH19" s="36"/>
      <c r="AI19" s="49"/>
      <c r="AJ19" s="36"/>
      <c r="AK19" s="36"/>
      <c r="AL19" s="36"/>
      <c r="AM19" s="36"/>
    </row>
    <row r="20" spans="1:39" x14ac:dyDescent="0.2">
      <c r="A20" s="6" t="s">
        <v>78</v>
      </c>
      <c r="B20" s="63">
        <v>1.2</v>
      </c>
      <c r="C20" s="13"/>
      <c r="D20" s="6"/>
      <c r="E20" s="6"/>
      <c r="F20" s="6" t="s">
        <v>24</v>
      </c>
      <c r="G20" s="15">
        <f>G17*(SUM(G8:G12)/1000000)/(G18/10000)*1000</f>
        <v>547.58429812560769</v>
      </c>
      <c r="H20" s="13" t="s">
        <v>25</v>
      </c>
      <c r="I20" s="24"/>
      <c r="L20" s="55"/>
      <c r="M20" s="56">
        <v>30</v>
      </c>
      <c r="N20" s="57">
        <f>L15*M20</f>
        <v>38.0030288325</v>
      </c>
      <c r="O20" s="52"/>
      <c r="P20" s="36"/>
      <c r="Q20" s="36"/>
      <c r="R20" s="36"/>
      <c r="S20" s="36"/>
      <c r="T20" s="36"/>
      <c r="U20" s="36"/>
      <c r="V20" s="36"/>
      <c r="W20" s="36"/>
      <c r="X20" s="36"/>
      <c r="Y20" s="37"/>
      <c r="Z20" s="37"/>
      <c r="AA20" s="37"/>
      <c r="AB20" s="6"/>
      <c r="AE20" s="36"/>
      <c r="AF20" s="36"/>
      <c r="AG20" s="36"/>
      <c r="AH20" s="36"/>
      <c r="AI20" s="36"/>
      <c r="AJ20" s="36"/>
      <c r="AK20" s="36"/>
      <c r="AL20" s="36"/>
      <c r="AM20" s="36"/>
    </row>
    <row r="21" spans="1:39" ht="14.25" x14ac:dyDescent="0.2">
      <c r="A21" s="6" t="s">
        <v>70</v>
      </c>
      <c r="B21" s="59">
        <f>B18*0.95*B16/(B10*B8)*100-100</f>
        <v>19.999999999999972</v>
      </c>
      <c r="C21" s="13" t="s">
        <v>6</v>
      </c>
      <c r="D21" s="6"/>
      <c r="E21" s="6"/>
      <c r="F21" s="6" t="s">
        <v>26</v>
      </c>
      <c r="G21" s="15">
        <f>G19/(G18/10000)</f>
        <v>155.73101474898777</v>
      </c>
      <c r="H21" s="13" t="s">
        <v>27</v>
      </c>
      <c r="I21" s="24"/>
      <c r="L21" s="41"/>
      <c r="M21" s="38"/>
      <c r="N21" s="39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7"/>
      <c r="Z21" s="37"/>
      <c r="AA21" s="37"/>
      <c r="AB21" s="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39" ht="14.25" x14ac:dyDescent="0.2">
      <c r="A22" s="6"/>
      <c r="B22" s="6"/>
      <c r="C22" s="13"/>
      <c r="D22" s="6"/>
      <c r="E22" s="6"/>
      <c r="F22" s="6" t="s">
        <v>15</v>
      </c>
      <c r="G22" s="15">
        <f>G20/G17</f>
        <v>2.7818894463768382</v>
      </c>
      <c r="H22" s="13" t="s">
        <v>16</v>
      </c>
      <c r="J22" s="4"/>
      <c r="L22" s="41"/>
      <c r="M22" s="38"/>
      <c r="N22" s="39"/>
      <c r="O22" s="36"/>
      <c r="P22" s="35"/>
      <c r="Q22" s="37"/>
      <c r="R22" s="36"/>
      <c r="S22" s="36"/>
      <c r="T22" s="37"/>
      <c r="U22" s="36"/>
      <c r="V22" s="36"/>
      <c r="W22" s="36"/>
      <c r="X22" s="36"/>
      <c r="Y22" s="37"/>
      <c r="Z22" s="37"/>
      <c r="AA22" s="37"/>
      <c r="AB22" s="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1:39" x14ac:dyDescent="0.2">
      <c r="A23" s="10" t="s">
        <v>14</v>
      </c>
      <c r="B23" s="6"/>
      <c r="C23" s="27"/>
      <c r="D23" s="6"/>
      <c r="E23" s="6"/>
      <c r="F23" s="14"/>
      <c r="I23" s="65"/>
      <c r="J23" s="66"/>
      <c r="L23" s="41"/>
      <c r="M23" s="38"/>
      <c r="N23" s="39"/>
      <c r="O23" s="36"/>
      <c r="P23" s="37"/>
      <c r="Q23" s="42"/>
      <c r="R23" s="36"/>
      <c r="S23" s="36"/>
      <c r="T23" s="37"/>
      <c r="U23" s="37"/>
      <c r="V23" s="37"/>
      <c r="W23" s="37"/>
      <c r="X23" s="37"/>
      <c r="Y23" s="37"/>
      <c r="Z23" s="37"/>
      <c r="AA23" s="37"/>
      <c r="AB23" s="6"/>
      <c r="AE23" s="36"/>
      <c r="AF23" s="36"/>
      <c r="AG23" s="36"/>
      <c r="AH23" s="36"/>
      <c r="AI23" s="36"/>
      <c r="AJ23" s="36"/>
      <c r="AK23" s="36"/>
      <c r="AL23" s="37"/>
      <c r="AM23" s="37"/>
    </row>
    <row r="24" spans="1:39" x14ac:dyDescent="0.2">
      <c r="A24" s="28" t="s">
        <v>4</v>
      </c>
      <c r="B24" s="29">
        <v>60</v>
      </c>
      <c r="C24" s="13" t="s">
        <v>7</v>
      </c>
      <c r="D24" s="6"/>
      <c r="E24" s="6"/>
      <c r="F24" s="67" t="s">
        <v>35</v>
      </c>
      <c r="G24" s="66"/>
      <c r="H24" s="66"/>
      <c r="I24" s="66"/>
      <c r="J24" s="66"/>
      <c r="L24" s="41"/>
      <c r="M24" s="38"/>
      <c r="N24" s="39"/>
      <c r="O24" s="36"/>
      <c r="P24" s="37"/>
      <c r="Q24" s="42"/>
      <c r="R24" s="36"/>
      <c r="S24" s="36"/>
      <c r="T24" s="37"/>
      <c r="U24" s="37"/>
      <c r="V24" s="37"/>
      <c r="W24" s="37"/>
      <c r="X24" s="37"/>
      <c r="Y24" s="37"/>
      <c r="Z24" s="37"/>
      <c r="AA24" s="37"/>
      <c r="AB24" s="6"/>
      <c r="AE24" s="36"/>
      <c r="AF24" s="50"/>
      <c r="AG24" s="35"/>
      <c r="AH24" s="35"/>
      <c r="AI24" s="35"/>
      <c r="AJ24" s="35"/>
      <c r="AK24" s="35"/>
      <c r="AL24" s="37"/>
      <c r="AM24" s="37"/>
    </row>
    <row r="25" spans="1:39" ht="14.25" x14ac:dyDescent="0.2">
      <c r="A25" s="6" t="s">
        <v>15</v>
      </c>
      <c r="B25" s="12">
        <v>1.75</v>
      </c>
      <c r="C25" s="13" t="s">
        <v>16</v>
      </c>
      <c r="D25" s="6"/>
      <c r="E25" s="6"/>
      <c r="F25" s="66"/>
      <c r="G25" s="66"/>
      <c r="H25" s="66"/>
      <c r="I25" s="7"/>
      <c r="L25" s="41"/>
      <c r="M25" s="38"/>
      <c r="N25" s="39"/>
      <c r="O25" s="36"/>
      <c r="P25" s="37"/>
      <c r="Q25" s="42"/>
      <c r="R25" s="39"/>
      <c r="S25" s="36"/>
      <c r="T25" s="37"/>
      <c r="U25" s="37"/>
      <c r="V25" s="37"/>
      <c r="W25" s="37"/>
      <c r="X25" s="37"/>
      <c r="Y25" s="37"/>
      <c r="Z25" s="37"/>
      <c r="AA25" s="37"/>
      <c r="AB25" s="6"/>
      <c r="AE25" s="36"/>
      <c r="AF25" s="37"/>
      <c r="AG25" s="38"/>
      <c r="AH25" s="37"/>
      <c r="AI25" s="38"/>
      <c r="AJ25" s="37"/>
      <c r="AK25" s="38"/>
      <c r="AL25" s="37"/>
      <c r="AM25" s="37"/>
    </row>
    <row r="26" spans="1:39" x14ac:dyDescent="0.2">
      <c r="D26" s="6"/>
      <c r="E26" s="6"/>
      <c r="F26" s="68"/>
      <c r="G26" s="68"/>
      <c r="H26" s="68"/>
      <c r="I26" s="7"/>
      <c r="L26" s="41"/>
      <c r="M26" s="38"/>
      <c r="N26" s="39"/>
      <c r="O26" s="36"/>
      <c r="P26" s="37"/>
      <c r="Q26" s="42"/>
      <c r="R26" s="36"/>
      <c r="S26" s="36"/>
      <c r="T26" s="37"/>
      <c r="U26" s="37"/>
      <c r="V26" s="37"/>
      <c r="W26" s="37"/>
      <c r="X26" s="37"/>
      <c r="Y26" s="37"/>
      <c r="Z26" s="37"/>
      <c r="AA26" s="37"/>
      <c r="AB26" s="6"/>
      <c r="AE26" s="36"/>
      <c r="AF26" s="38"/>
      <c r="AG26" s="38"/>
      <c r="AH26" s="38"/>
      <c r="AI26" s="38"/>
      <c r="AJ26" s="38"/>
      <c r="AK26" s="38"/>
      <c r="AL26" s="37"/>
      <c r="AM26" s="37"/>
    </row>
    <row r="27" spans="1:39" x14ac:dyDescent="0.2">
      <c r="D27" s="6"/>
      <c r="E27" s="6"/>
      <c r="I27" s="7"/>
      <c r="L27" s="41"/>
      <c r="M27" s="39"/>
      <c r="N27" s="39"/>
      <c r="O27" s="36"/>
      <c r="P27" s="37"/>
      <c r="Q27" s="42"/>
      <c r="R27" s="39"/>
      <c r="S27" s="36"/>
      <c r="T27" s="37"/>
      <c r="U27" s="37"/>
      <c r="V27" s="37"/>
      <c r="W27" s="37"/>
      <c r="X27" s="37"/>
      <c r="Y27" s="37"/>
      <c r="Z27" s="37"/>
      <c r="AA27" s="37"/>
      <c r="AB27" s="6"/>
      <c r="AE27" s="36"/>
      <c r="AF27" s="37"/>
      <c r="AG27" s="38"/>
      <c r="AH27" s="37"/>
      <c r="AI27" s="38"/>
      <c r="AJ27" s="37"/>
      <c r="AK27" s="38"/>
      <c r="AL27" s="37"/>
      <c r="AM27" s="37"/>
    </row>
    <row r="28" spans="1:39" x14ac:dyDescent="0.2">
      <c r="A28" s="58" t="s">
        <v>28</v>
      </c>
      <c r="B28" s="11"/>
      <c r="C28" s="9"/>
      <c r="E28" s="6"/>
      <c r="F28" s="1" t="s">
        <v>80</v>
      </c>
      <c r="I28" s="18"/>
      <c r="L28" s="26" t="s">
        <v>30</v>
      </c>
      <c r="M28" s="30"/>
      <c r="N28" s="39"/>
      <c r="O28" s="36"/>
      <c r="P28" s="36"/>
      <c r="Q28" s="36"/>
      <c r="R28" s="36"/>
      <c r="S28" s="36"/>
      <c r="T28" s="37"/>
      <c r="U28" s="37"/>
      <c r="V28" s="37"/>
      <c r="W28" s="37"/>
      <c r="X28" s="37"/>
      <c r="Y28" s="37"/>
      <c r="Z28" s="37"/>
      <c r="AA28" s="37"/>
      <c r="AB28" s="6"/>
      <c r="AE28" s="36"/>
      <c r="AF28" s="37"/>
      <c r="AG28" s="38"/>
      <c r="AH28" s="37"/>
      <c r="AI28" s="38"/>
      <c r="AJ28" s="37"/>
      <c r="AK28" s="38"/>
      <c r="AL28" s="37"/>
      <c r="AM28" s="37"/>
    </row>
    <row r="29" spans="1:39" ht="15.75" x14ac:dyDescent="0.25">
      <c r="B29" s="6" t="s">
        <v>29</v>
      </c>
      <c r="C29" s="6" t="s">
        <v>13</v>
      </c>
      <c r="D29" s="6"/>
      <c r="E29" s="6"/>
      <c r="F29" s="15">
        <f>(G17*G14*B41*B40/1000)/(G14*B41*B40/1000+B43)</f>
        <v>192.19008711142462</v>
      </c>
      <c r="G29" s="1" t="s">
        <v>20</v>
      </c>
      <c r="I29" s="18"/>
      <c r="L29" s="26" t="s">
        <v>31</v>
      </c>
      <c r="M29" s="31"/>
      <c r="N29" s="39"/>
      <c r="O29" s="36"/>
      <c r="P29" s="69"/>
      <c r="Q29" s="70"/>
      <c r="R29" s="70"/>
      <c r="S29" s="36"/>
      <c r="T29" s="37"/>
      <c r="U29" s="37"/>
      <c r="V29" s="37"/>
      <c r="W29" s="37"/>
      <c r="X29" s="37"/>
      <c r="Y29" s="37"/>
      <c r="Z29" s="37"/>
      <c r="AA29" s="37"/>
      <c r="AB29" s="6"/>
      <c r="AE29" s="36"/>
      <c r="AF29" s="38"/>
      <c r="AG29" s="38"/>
      <c r="AH29" s="38"/>
      <c r="AI29" s="38"/>
      <c r="AJ29" s="38"/>
      <c r="AK29" s="38"/>
      <c r="AL29" s="37"/>
      <c r="AM29" s="37"/>
    </row>
    <row r="30" spans="1:39" x14ac:dyDescent="0.2">
      <c r="A30" s="6" t="s">
        <v>81</v>
      </c>
      <c r="B30" s="12">
        <v>25</v>
      </c>
      <c r="C30" s="61">
        <f>2700*B30/10000*0.24</f>
        <v>1.6199999999999999</v>
      </c>
      <c r="D30" s="6"/>
      <c r="E30" s="6"/>
      <c r="F30" s="1" t="s">
        <v>80</v>
      </c>
      <c r="I30" s="18"/>
      <c r="K30" s="32"/>
      <c r="L30" s="41"/>
      <c r="M30" s="38"/>
      <c r="N30" s="39"/>
      <c r="O30" s="36"/>
      <c r="P30" s="70"/>
      <c r="Q30" s="70"/>
      <c r="R30" s="70"/>
      <c r="S30" s="36"/>
      <c r="T30" s="37"/>
      <c r="U30" s="37"/>
      <c r="V30" s="37"/>
      <c r="W30" s="37"/>
      <c r="X30" s="37"/>
      <c r="Y30" s="37"/>
      <c r="Z30" s="37"/>
      <c r="AA30" s="37"/>
      <c r="AB30" s="6"/>
      <c r="AE30" s="36"/>
      <c r="AF30" s="37"/>
      <c r="AG30" s="38"/>
      <c r="AH30" s="37"/>
      <c r="AI30" s="38"/>
      <c r="AJ30" s="37"/>
      <c r="AK30" s="38"/>
      <c r="AL30" s="37"/>
      <c r="AM30" s="37"/>
    </row>
    <row r="31" spans="1:39" x14ac:dyDescent="0.2">
      <c r="A31" s="6" t="s">
        <v>82</v>
      </c>
      <c r="B31" s="12">
        <v>25</v>
      </c>
      <c r="C31" s="61">
        <f>8960*B31/10000*0.138</f>
        <v>3.0912000000000002</v>
      </c>
      <c r="D31" s="6"/>
      <c r="E31" s="24"/>
      <c r="F31" s="15">
        <f>(G17*SUM(G8:G12)*B41*B40/1000)/((B35*2+SUM(I8:I11)*B40)/10000*B42)</f>
        <v>349.67252299902935</v>
      </c>
      <c r="G31" s="1" t="s">
        <v>25</v>
      </c>
      <c r="I31" s="18"/>
      <c r="L31" s="37"/>
      <c r="M31" s="38"/>
      <c r="N31" s="39"/>
      <c r="O31" s="36"/>
      <c r="P31" s="36"/>
      <c r="Q31" s="36"/>
      <c r="R31" s="36"/>
      <c r="S31" s="37"/>
      <c r="T31" s="37"/>
      <c r="U31" s="37"/>
      <c r="V31" s="37"/>
      <c r="W31" s="37"/>
      <c r="X31" s="37"/>
      <c r="Y31" s="36"/>
      <c r="Z31" s="36"/>
      <c r="AA31" s="36"/>
      <c r="AF31" s="6"/>
      <c r="AG31" s="14"/>
      <c r="AH31" s="6"/>
      <c r="AI31" s="14"/>
      <c r="AJ31" s="6"/>
      <c r="AK31" s="14"/>
      <c r="AL31" s="6"/>
      <c r="AM31" s="6"/>
    </row>
    <row r="32" spans="1:39" x14ac:dyDescent="0.2">
      <c r="E32" s="24"/>
      <c r="I32" s="18"/>
      <c r="L32" s="37"/>
      <c r="M32" s="37"/>
      <c r="N32" s="36"/>
      <c r="O32" s="36"/>
      <c r="P32" s="36"/>
      <c r="Q32" s="36"/>
      <c r="R32" s="36"/>
      <c r="S32" s="37"/>
      <c r="T32" s="37"/>
      <c r="U32" s="37"/>
      <c r="V32" s="37"/>
      <c r="W32" s="37"/>
      <c r="X32" s="37"/>
      <c r="Y32" s="36"/>
      <c r="Z32" s="36"/>
      <c r="AA32" s="36"/>
    </row>
    <row r="33" spans="1:27" x14ac:dyDescent="0.2">
      <c r="A33" s="58" t="s">
        <v>32</v>
      </c>
      <c r="B33" s="11"/>
      <c r="C33" s="9"/>
      <c r="E33" s="24"/>
      <c r="F33" s="6" t="s">
        <v>85</v>
      </c>
      <c r="I33" s="18"/>
      <c r="J33" s="33"/>
      <c r="L33" s="37"/>
      <c r="M33" s="37"/>
      <c r="N33" s="36"/>
      <c r="O33" s="36"/>
      <c r="P33" s="36"/>
      <c r="Q33" s="36"/>
      <c r="R33" s="36"/>
      <c r="S33" s="37"/>
      <c r="T33" s="37"/>
      <c r="U33" s="37"/>
      <c r="V33" s="37"/>
      <c r="W33" s="37"/>
      <c r="X33" s="37"/>
      <c r="Y33" s="36"/>
      <c r="Z33" s="36"/>
      <c r="AA33" s="36"/>
    </row>
    <row r="34" spans="1:27" ht="12.75" customHeight="1" x14ac:dyDescent="0.2">
      <c r="A34" s="6" t="s">
        <v>83</v>
      </c>
      <c r="B34" s="12">
        <v>1.5</v>
      </c>
      <c r="C34" s="13" t="s">
        <v>16</v>
      </c>
      <c r="E34" s="24"/>
      <c r="F34" s="64">
        <f>SUM(H8:H10)</f>
        <v>81.225323012117912</v>
      </c>
      <c r="I34" s="18"/>
      <c r="J34" s="6"/>
      <c r="L34" s="37"/>
      <c r="M34" s="43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x14ac:dyDescent="0.2">
      <c r="A35" s="6" t="s">
        <v>84</v>
      </c>
      <c r="B35" s="12">
        <v>100</v>
      </c>
      <c r="C35" s="13" t="s">
        <v>7</v>
      </c>
      <c r="E35" s="24"/>
      <c r="F35" s="6" t="s">
        <v>88</v>
      </c>
      <c r="I35" s="18"/>
      <c r="J35" s="6"/>
      <c r="K35" s="13"/>
      <c r="L35" s="37"/>
      <c r="M35" s="43"/>
      <c r="N35" s="36"/>
      <c r="O35" s="39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x14ac:dyDescent="0.2">
      <c r="A36" s="6" t="s">
        <v>59</v>
      </c>
      <c r="B36" s="59">
        <f>(C30+C31)*0.25/1000</f>
        <v>1.1777999999999999E-3</v>
      </c>
      <c r="C36" s="13" t="s">
        <v>61</v>
      </c>
      <c r="E36" s="6"/>
      <c r="F36" s="64">
        <f>SUM(H11:H13)</f>
        <v>18.774676987882078</v>
      </c>
      <c r="I36" s="18"/>
      <c r="K36" s="25"/>
      <c r="L36" s="37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x14ac:dyDescent="0.2">
      <c r="A37" s="6" t="s">
        <v>60</v>
      </c>
      <c r="B37" s="60">
        <v>7.5999999999999998E-2</v>
      </c>
      <c r="C37" s="1" t="s">
        <v>61</v>
      </c>
      <c r="I37" s="18"/>
      <c r="K37" s="2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x14ac:dyDescent="0.2">
      <c r="A38" s="6" t="s">
        <v>63</v>
      </c>
      <c r="B38" s="60">
        <v>4</v>
      </c>
      <c r="C38" s="1" t="s">
        <v>64</v>
      </c>
      <c r="I38" s="18"/>
      <c r="K38" s="2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x14ac:dyDescent="0.2">
      <c r="A39" s="6" t="s">
        <v>62</v>
      </c>
      <c r="B39" s="60">
        <v>4</v>
      </c>
      <c r="C39" s="1" t="s">
        <v>64</v>
      </c>
      <c r="I39" s="18"/>
      <c r="K39" s="2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x14ac:dyDescent="0.2">
      <c r="A40" s="6" t="s">
        <v>69</v>
      </c>
      <c r="B40" s="60">
        <v>5</v>
      </c>
      <c r="I40" s="18"/>
      <c r="K40" s="2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ht="14.25" x14ac:dyDescent="0.2">
      <c r="A41" s="6" t="s">
        <v>68</v>
      </c>
      <c r="B41" s="59">
        <f>B39*B38</f>
        <v>16</v>
      </c>
      <c r="C41" s="13" t="s">
        <v>66</v>
      </c>
      <c r="I41" s="18"/>
      <c r="K41" s="2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ht="14.25" x14ac:dyDescent="0.2">
      <c r="A42" s="6" t="s">
        <v>65</v>
      </c>
      <c r="B42" s="59">
        <f>(B38+0.2)*(B39+0.2)</f>
        <v>17.64</v>
      </c>
      <c r="C42" s="13" t="s">
        <v>66</v>
      </c>
      <c r="I42" s="18"/>
      <c r="K42" s="2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x14ac:dyDescent="0.2">
      <c r="A43" s="6" t="s">
        <v>67</v>
      </c>
      <c r="B43" s="59">
        <f>B34*B35*0.0001*B42*2+B36+B37*2</f>
        <v>0.68237780000000003</v>
      </c>
      <c r="C43" s="1" t="s">
        <v>61</v>
      </c>
      <c r="I43" s="18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x14ac:dyDescent="0.2">
      <c r="L44" s="36"/>
      <c r="M44" s="36"/>
      <c r="N44" s="36"/>
      <c r="O44" s="38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x14ac:dyDescent="0.2">
      <c r="A45" s="58" t="s">
        <v>48</v>
      </c>
      <c r="B45" s="9"/>
      <c r="C45" s="9"/>
      <c r="L45" s="36"/>
      <c r="M45" s="36"/>
      <c r="N45" s="36"/>
      <c r="O45" s="38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x14ac:dyDescent="0.2">
      <c r="A46" s="6" t="s">
        <v>49</v>
      </c>
      <c r="B46" s="12">
        <v>145</v>
      </c>
      <c r="C46" s="13" t="s">
        <v>9</v>
      </c>
      <c r="L46" s="36"/>
      <c r="M46" s="36"/>
      <c r="N46" s="36"/>
      <c r="O46" s="38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x14ac:dyDescent="0.2">
      <c r="A47" s="6" t="s">
        <v>50</v>
      </c>
      <c r="B47" s="12">
        <v>70.5</v>
      </c>
      <c r="C47" s="13" t="s">
        <v>6</v>
      </c>
      <c r="L47" s="36"/>
      <c r="M47" s="36"/>
      <c r="N47" s="36"/>
      <c r="O47" s="42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1:27" x14ac:dyDescent="0.2">
      <c r="A48" s="6" t="s">
        <v>51</v>
      </c>
      <c r="B48" s="12">
        <v>97</v>
      </c>
      <c r="C48" s="1" t="s">
        <v>6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1:27" ht="14.25" x14ac:dyDescent="0.2">
      <c r="A49" s="6" t="s">
        <v>54</v>
      </c>
      <c r="B49" s="12">
        <v>3.04</v>
      </c>
      <c r="C49" s="13" t="s">
        <v>16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1:27" x14ac:dyDescent="0.2">
      <c r="A50" s="6"/>
      <c r="B50" s="6"/>
      <c r="C50" s="13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1:27" x14ac:dyDescent="0.2">
      <c r="A51" s="6" t="s">
        <v>77</v>
      </c>
      <c r="B51" s="12">
        <v>25</v>
      </c>
      <c r="C51" s="1" t="s">
        <v>6</v>
      </c>
    </row>
    <row r="52" spans="1:27" ht="14.25" x14ac:dyDescent="0.2">
      <c r="A52" s="6" t="s">
        <v>76</v>
      </c>
      <c r="B52" s="12">
        <v>1.3</v>
      </c>
      <c r="C52" s="13" t="s">
        <v>16</v>
      </c>
    </row>
    <row r="53" spans="1:27" x14ac:dyDescent="0.2">
      <c r="A53" s="6"/>
      <c r="B53" s="6"/>
      <c r="C53" s="13"/>
    </row>
    <row r="54" spans="1:27" x14ac:dyDescent="0.2">
      <c r="A54" s="6" t="s">
        <v>52</v>
      </c>
      <c r="B54" s="12">
        <v>3</v>
      </c>
      <c r="C54" s="1" t="s">
        <v>6</v>
      </c>
      <c r="P54" s="25"/>
    </row>
    <row r="55" spans="1:27" ht="14.25" x14ac:dyDescent="0.2">
      <c r="A55" s="6" t="s">
        <v>55</v>
      </c>
      <c r="B55" s="12">
        <v>2</v>
      </c>
      <c r="C55" s="13" t="s">
        <v>16</v>
      </c>
    </row>
    <row r="56" spans="1:27" x14ac:dyDescent="0.2">
      <c r="A56" s="6"/>
      <c r="B56" s="6"/>
      <c r="C56" s="13"/>
    </row>
    <row r="57" spans="1:27" x14ac:dyDescent="0.2">
      <c r="A57" s="6" t="s">
        <v>56</v>
      </c>
      <c r="B57" s="12">
        <v>1.5</v>
      </c>
      <c r="C57" s="1" t="s">
        <v>6</v>
      </c>
    </row>
    <row r="58" spans="1:27" ht="14.25" x14ac:dyDescent="0.2">
      <c r="A58" s="6" t="s">
        <v>57</v>
      </c>
      <c r="B58" s="12">
        <v>2.2000000000000002</v>
      </c>
      <c r="C58" s="13" t="s">
        <v>16</v>
      </c>
    </row>
    <row r="59" spans="1:27" x14ac:dyDescent="0.2">
      <c r="L59" s="6"/>
    </row>
    <row r="60" spans="1:27" ht="14.25" x14ac:dyDescent="0.2">
      <c r="A60" s="6" t="s">
        <v>53</v>
      </c>
      <c r="B60" s="59">
        <f>(B47*B49+B51*B52+B54*B55+B57*B58)/100</f>
        <v>2.5611999999999999</v>
      </c>
      <c r="C60" s="13" t="s">
        <v>16</v>
      </c>
      <c r="L60" s="6"/>
    </row>
    <row r="61" spans="1:27" x14ac:dyDescent="0.2">
      <c r="L61" s="6"/>
    </row>
    <row r="62" spans="1:27" x14ac:dyDescent="0.2">
      <c r="L62" s="6"/>
    </row>
    <row r="63" spans="1:27" x14ac:dyDescent="0.2">
      <c r="L63" s="6"/>
    </row>
    <row r="64" spans="1:27" x14ac:dyDescent="0.2">
      <c r="L64" s="6"/>
    </row>
    <row r="65" spans="12:12" x14ac:dyDescent="0.2">
      <c r="L65" s="6"/>
    </row>
    <row r="66" spans="12:12" x14ac:dyDescent="0.2">
      <c r="L66" s="6"/>
    </row>
  </sheetData>
  <mergeCells count="9">
    <mergeCell ref="I23:J24"/>
    <mergeCell ref="F24:H26"/>
    <mergeCell ref="P29:R30"/>
    <mergeCell ref="A4:C4"/>
    <mergeCell ref="F4:I4"/>
    <mergeCell ref="L4:N6"/>
    <mergeCell ref="P4:R4"/>
    <mergeCell ref="G6:G7"/>
    <mergeCell ref="F16:H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1C83-7753-482B-9E28-371F627A50F8}">
  <dimension ref="A1:AM66"/>
  <sheetViews>
    <sheetView topLeftCell="A5" workbookViewId="0">
      <selection activeCell="B24" sqref="B24"/>
    </sheetView>
  </sheetViews>
  <sheetFormatPr defaultColWidth="8.85546875" defaultRowHeight="12.75" x14ac:dyDescent="0.2"/>
  <cols>
    <col min="1" max="1" width="26.85546875" style="1" bestFit="1" customWidth="1"/>
    <col min="2" max="2" width="12.42578125" style="1" bestFit="1" customWidth="1"/>
    <col min="3" max="3" width="9" style="1" customWidth="1"/>
    <col min="4" max="4" width="1.140625" style="1" customWidth="1"/>
    <col min="5" max="5" width="1.7109375" style="1" customWidth="1"/>
    <col min="6" max="6" width="18.7109375" style="1" customWidth="1"/>
    <col min="7" max="7" width="10.28515625" style="1" customWidth="1"/>
    <col min="8" max="8" width="8.85546875" style="1"/>
    <col min="9" max="9" width="10.42578125" style="1" customWidth="1"/>
    <col min="10" max="10" width="7.85546875" style="1" bestFit="1" customWidth="1"/>
    <col min="11" max="11" width="2.42578125" style="1" customWidth="1"/>
    <col min="12" max="12" width="25.42578125" style="1" customWidth="1"/>
    <col min="13" max="13" width="9.140625" style="1" bestFit="1" customWidth="1"/>
    <col min="14" max="14" width="9.42578125" style="1" customWidth="1"/>
    <col min="15" max="15" width="8.42578125" style="1" customWidth="1"/>
    <col min="16" max="16" width="22.7109375" style="1" customWidth="1"/>
    <col min="17" max="16384" width="8.85546875" style="1"/>
  </cols>
  <sheetData>
    <row r="1" spans="1:39" ht="27.75" x14ac:dyDescent="0.4">
      <c r="F1" s="3"/>
      <c r="G1" s="2" t="s">
        <v>37</v>
      </c>
      <c r="M1" s="4"/>
    </row>
    <row r="2" spans="1:39" ht="17.25" customHeight="1" x14ac:dyDescent="0.2">
      <c r="E2" s="4"/>
    </row>
    <row r="3" spans="1:39" ht="20.25" x14ac:dyDescent="0.3">
      <c r="A3" s="5" t="s">
        <v>0</v>
      </c>
      <c r="E3" s="4"/>
      <c r="F3" s="5" t="s">
        <v>34</v>
      </c>
      <c r="G3" s="5"/>
      <c r="H3" s="5"/>
      <c r="I3" s="5"/>
      <c r="L3" s="5" t="s">
        <v>36</v>
      </c>
      <c r="P3" s="5" t="s">
        <v>33</v>
      </c>
    </row>
    <row r="4" spans="1:39" ht="39" customHeight="1" x14ac:dyDescent="0.25">
      <c r="A4" s="71" t="s">
        <v>1</v>
      </c>
      <c r="B4" s="72"/>
      <c r="C4" s="72"/>
      <c r="E4" s="4"/>
      <c r="F4" s="71" t="s">
        <v>2</v>
      </c>
      <c r="G4" s="71"/>
      <c r="H4" s="71"/>
      <c r="I4" s="68"/>
      <c r="L4" s="73" t="s">
        <v>38</v>
      </c>
      <c r="M4" s="73"/>
      <c r="N4" s="73"/>
      <c r="P4" s="73" t="s">
        <v>39</v>
      </c>
      <c r="Q4" s="73"/>
      <c r="R4" s="73"/>
    </row>
    <row r="5" spans="1:39" ht="12.75" customHeight="1" x14ac:dyDescent="0.2">
      <c r="E5" s="4"/>
      <c r="F5" s="6"/>
      <c r="I5" s="7"/>
      <c r="L5" s="68"/>
      <c r="M5" s="68"/>
      <c r="N5" s="68"/>
      <c r="P5" s="10"/>
      <c r="Q5" s="6"/>
      <c r="V5" s="1">
        <v>0</v>
      </c>
    </row>
    <row r="6" spans="1:39" x14ac:dyDescent="0.2">
      <c r="E6" s="4"/>
      <c r="F6" s="6"/>
      <c r="G6" s="65" t="s">
        <v>3</v>
      </c>
      <c r="I6" s="8" t="s">
        <v>4</v>
      </c>
      <c r="L6" s="68"/>
      <c r="M6" s="68"/>
      <c r="N6" s="68"/>
      <c r="O6" s="36"/>
      <c r="P6" s="37"/>
      <c r="Q6" s="38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39" x14ac:dyDescent="0.2">
      <c r="A7" s="58" t="s">
        <v>58</v>
      </c>
      <c r="B7" s="9"/>
      <c r="C7" s="9"/>
      <c r="F7" s="58" t="s">
        <v>87</v>
      </c>
      <c r="G7" s="74"/>
      <c r="H7" s="58" t="s">
        <v>6</v>
      </c>
      <c r="I7" s="10" t="s">
        <v>7</v>
      </c>
      <c r="J7" s="10" t="s">
        <v>6</v>
      </c>
      <c r="M7" s="37"/>
      <c r="N7" s="36"/>
      <c r="O7" s="36"/>
      <c r="P7" s="37"/>
      <c r="Q7" s="38"/>
      <c r="R7" s="36"/>
      <c r="S7" s="36"/>
      <c r="T7" s="36"/>
      <c r="U7" s="36"/>
      <c r="V7" s="36"/>
      <c r="W7" s="36"/>
      <c r="X7" s="36"/>
      <c r="Y7" s="36"/>
      <c r="Z7" s="36"/>
      <c r="AA7" s="36"/>
      <c r="AE7" s="36"/>
      <c r="AF7" s="36"/>
      <c r="AG7" s="36"/>
      <c r="AH7" s="36"/>
      <c r="AI7" s="36"/>
      <c r="AJ7" s="36"/>
      <c r="AK7" s="36"/>
      <c r="AL7" s="36"/>
      <c r="AM7" s="36"/>
    </row>
    <row r="8" spans="1:39" x14ac:dyDescent="0.2">
      <c r="A8" s="6" t="s">
        <v>8</v>
      </c>
      <c r="B8" s="62">
        <f>B46*B47*B48/10000</f>
        <v>99.158249999999995</v>
      </c>
      <c r="C8" s="13" t="s">
        <v>9</v>
      </c>
      <c r="D8" s="6"/>
      <c r="F8" s="6" t="s">
        <v>5</v>
      </c>
      <c r="G8" s="14">
        <f>B10</f>
        <v>35</v>
      </c>
      <c r="H8" s="15">
        <f>G8*B$40/$G$14*100</f>
        <v>52.669763776017255</v>
      </c>
      <c r="I8" s="16">
        <f>B12</f>
        <v>136.6546931126035</v>
      </c>
      <c r="J8" s="17">
        <f>I8/I$14*100</f>
        <v>28.980327006606043</v>
      </c>
      <c r="M8" s="37"/>
      <c r="N8" s="36"/>
      <c r="O8" s="36"/>
      <c r="P8" s="37"/>
      <c r="Q8" s="38"/>
      <c r="R8" s="36"/>
      <c r="S8" s="36"/>
      <c r="T8" s="36"/>
      <c r="U8" s="36"/>
      <c r="V8" s="36"/>
      <c r="W8" s="36"/>
      <c r="X8" s="36"/>
      <c r="Y8" s="36"/>
      <c r="Z8" s="36"/>
      <c r="AA8" s="36"/>
      <c r="AE8" s="36"/>
      <c r="AF8" s="44"/>
      <c r="AG8" s="35"/>
      <c r="AH8" s="35"/>
      <c r="AI8" s="35"/>
      <c r="AJ8" s="35"/>
      <c r="AK8" s="36"/>
      <c r="AL8" s="36"/>
      <c r="AM8" s="36"/>
    </row>
    <row r="9" spans="1:39" x14ac:dyDescent="0.2">
      <c r="A9" s="6" t="s">
        <v>42</v>
      </c>
      <c r="B9" s="12">
        <v>4.2</v>
      </c>
      <c r="C9" s="13" t="s">
        <v>10</v>
      </c>
      <c r="D9" s="6"/>
      <c r="E9" s="6"/>
      <c r="F9" s="6" t="s">
        <v>11</v>
      </c>
      <c r="G9" s="14">
        <f>B18</f>
        <v>11.784511884550083</v>
      </c>
      <c r="H9" s="15">
        <f t="shared" ref="H9:H12" si="0">G9*B$40/$G$14*100</f>
        <v>17.73392734785488</v>
      </c>
      <c r="I9" s="14">
        <f>B18/B19*10/0.95</f>
        <v>54.888271469725595</v>
      </c>
      <c r="J9" s="15">
        <f>I9/I$14*100</f>
        <v>11.640142169938445</v>
      </c>
      <c r="M9" s="37"/>
      <c r="N9" s="36"/>
      <c r="O9" s="36"/>
      <c r="P9" s="37"/>
      <c r="Q9" s="37"/>
      <c r="R9" s="36"/>
      <c r="S9" s="36"/>
      <c r="T9" s="36"/>
      <c r="U9" s="36"/>
      <c r="V9" s="36"/>
      <c r="W9" s="36"/>
      <c r="X9" s="36"/>
      <c r="Y9" s="36"/>
      <c r="Z9" s="36"/>
      <c r="AA9" s="36"/>
      <c r="AE9" s="36"/>
      <c r="AF9" s="36"/>
      <c r="AG9" s="45"/>
      <c r="AH9" s="37"/>
      <c r="AI9" s="46"/>
      <c r="AJ9" s="46"/>
      <c r="AK9" s="36"/>
      <c r="AL9" s="36"/>
      <c r="AM9" s="36"/>
    </row>
    <row r="10" spans="1:39" ht="14.25" x14ac:dyDescent="0.2">
      <c r="A10" s="6" t="s">
        <v>79</v>
      </c>
      <c r="B10" s="12">
        <v>35</v>
      </c>
      <c r="C10" s="13" t="s">
        <v>13</v>
      </c>
      <c r="D10" s="6"/>
      <c r="E10" s="6"/>
      <c r="F10" s="6" t="s">
        <v>14</v>
      </c>
      <c r="G10" s="14">
        <f>B25*B24/10000*1000</f>
        <v>9.625</v>
      </c>
      <c r="H10" s="15">
        <f t="shared" si="0"/>
        <v>14.484185038404746</v>
      </c>
      <c r="I10" s="14">
        <f>B24</f>
        <v>55</v>
      </c>
      <c r="J10" s="15">
        <f>I10/I$14*100</f>
        <v>11.663836411750189</v>
      </c>
      <c r="M10" s="37"/>
      <c r="N10" s="36"/>
      <c r="O10" s="36"/>
      <c r="P10" s="35"/>
      <c r="Q10" s="37"/>
      <c r="R10" s="36"/>
      <c r="S10" s="36"/>
      <c r="T10" s="36"/>
      <c r="U10" s="36"/>
      <c r="V10" s="36"/>
      <c r="W10" s="36"/>
      <c r="X10" s="36"/>
      <c r="Y10" s="36"/>
      <c r="Z10" s="36"/>
      <c r="AA10" s="36"/>
      <c r="AE10" s="36"/>
      <c r="AF10" s="36"/>
      <c r="AG10" s="45"/>
      <c r="AH10" s="37"/>
      <c r="AI10" s="46"/>
      <c r="AJ10" s="46"/>
      <c r="AK10" s="36"/>
      <c r="AL10" s="36"/>
      <c r="AM10" s="36"/>
    </row>
    <row r="11" spans="1:39" ht="14.25" x14ac:dyDescent="0.2">
      <c r="A11" s="6" t="s">
        <v>15</v>
      </c>
      <c r="B11" s="34">
        <f>B60</f>
        <v>2.5611999999999999</v>
      </c>
      <c r="C11" s="13" t="s">
        <v>16</v>
      </c>
      <c r="D11" s="6"/>
      <c r="E11" s="6"/>
      <c r="F11" s="6" t="s">
        <v>40</v>
      </c>
      <c r="G11" s="14">
        <f>C30</f>
        <v>1.6199999999999999</v>
      </c>
      <c r="H11" s="15">
        <f t="shared" si="0"/>
        <v>2.4378576376327987</v>
      </c>
      <c r="I11" s="14">
        <f>B30</f>
        <v>25</v>
      </c>
      <c r="J11" s="15">
        <f>I11/I$14*100</f>
        <v>5.3017438235228136</v>
      </c>
      <c r="L11" s="37"/>
      <c r="M11" s="38"/>
      <c r="N11" s="39"/>
      <c r="O11" s="36"/>
      <c r="P11" s="37"/>
      <c r="Q11" s="37"/>
      <c r="R11" s="36"/>
      <c r="S11" s="36"/>
      <c r="T11" s="36"/>
      <c r="U11" s="36"/>
      <c r="V11" s="36"/>
      <c r="W11" s="36"/>
      <c r="X11" s="36"/>
      <c r="Y11" s="36"/>
      <c r="Z11" s="36"/>
      <c r="AA11" s="36"/>
      <c r="AE11" s="36"/>
      <c r="AF11" s="36"/>
      <c r="AG11" s="45"/>
      <c r="AH11" s="37"/>
      <c r="AI11" s="46"/>
      <c r="AJ11" s="46"/>
      <c r="AK11" s="36"/>
      <c r="AL11" s="36"/>
      <c r="AM11" s="36"/>
    </row>
    <row r="12" spans="1:39" x14ac:dyDescent="0.2">
      <c r="A12" s="6" t="s">
        <v>4</v>
      </c>
      <c r="B12" s="19">
        <f>(B10/1000/B11*10000)</f>
        <v>136.6546931126035</v>
      </c>
      <c r="C12" s="13" t="s">
        <v>7</v>
      </c>
      <c r="D12" s="6"/>
      <c r="E12" s="6"/>
      <c r="F12" s="6" t="s">
        <v>41</v>
      </c>
      <c r="G12" s="14">
        <f>C31</f>
        <v>3.0912000000000002</v>
      </c>
      <c r="H12" s="15">
        <f t="shared" si="0"/>
        <v>4.651793536697844</v>
      </c>
      <c r="I12" s="20">
        <f>B35*2</f>
        <v>200</v>
      </c>
      <c r="J12" s="21">
        <f>I12/I$14*100</f>
        <v>42.413950588182509</v>
      </c>
      <c r="L12" s="37"/>
      <c r="M12" s="37"/>
      <c r="N12" s="36"/>
      <c r="O12" s="36"/>
      <c r="P12" s="37"/>
      <c r="Q12" s="38"/>
      <c r="R12" s="40"/>
      <c r="S12" s="36"/>
      <c r="T12" s="36"/>
      <c r="U12" s="36"/>
      <c r="V12" s="36"/>
      <c r="W12" s="36"/>
      <c r="X12" s="36"/>
      <c r="Y12" s="36"/>
      <c r="Z12" s="36"/>
      <c r="AA12" s="36"/>
      <c r="AE12" s="36"/>
      <c r="AF12" s="36"/>
      <c r="AG12" s="45"/>
      <c r="AH12" s="37"/>
      <c r="AI12" s="46"/>
      <c r="AJ12" s="46"/>
      <c r="AK12" s="36"/>
      <c r="AL12" s="36"/>
      <c r="AM12" s="36"/>
    </row>
    <row r="13" spans="1:39" ht="12" customHeight="1" x14ac:dyDescent="0.2">
      <c r="A13" s="6"/>
      <c r="B13" s="13"/>
      <c r="C13" s="13"/>
      <c r="D13" s="6"/>
      <c r="E13" s="6"/>
      <c r="F13" s="6" t="s">
        <v>86</v>
      </c>
      <c r="G13" s="1">
        <f>B43/B41*1000</f>
        <v>42.648612499999999</v>
      </c>
      <c r="H13" s="15">
        <f>G13/$G$14*100</f>
        <v>8.0224726633924881</v>
      </c>
      <c r="L13" s="35"/>
      <c r="M13" s="37"/>
      <c r="N13" s="36"/>
      <c r="O13" s="36"/>
      <c r="P13" s="37"/>
      <c r="Q13" s="38"/>
      <c r="R13" s="40"/>
      <c r="S13" s="36"/>
      <c r="T13" s="36"/>
      <c r="U13" s="36"/>
      <c r="V13" s="36"/>
      <c r="W13" s="36"/>
      <c r="X13" s="36"/>
      <c r="Y13" s="36"/>
      <c r="Z13" s="36"/>
      <c r="AA13" s="36"/>
      <c r="AE13" s="36"/>
      <c r="AF13" s="36"/>
      <c r="AG13" s="45"/>
      <c r="AH13" s="37"/>
      <c r="AI13" s="46"/>
      <c r="AJ13" s="46"/>
      <c r="AK13" s="36"/>
      <c r="AL13" s="36"/>
      <c r="AM13" s="36"/>
    </row>
    <row r="14" spans="1:39" x14ac:dyDescent="0.2">
      <c r="A14" s="6"/>
      <c r="B14" s="6"/>
      <c r="C14" s="13"/>
      <c r="D14" s="6"/>
      <c r="E14" s="6"/>
      <c r="F14" s="22" t="s">
        <v>17</v>
      </c>
      <c r="G14" s="23">
        <f>SUM(G8:G12)*B40+G13</f>
        <v>531.61430757640062</v>
      </c>
      <c r="H14" s="22"/>
      <c r="I14" s="23">
        <f>SUM(I8:I12)</f>
        <v>471.54296458232909</v>
      </c>
      <c r="K14" s="6"/>
      <c r="L14" s="51" t="s">
        <v>44</v>
      </c>
      <c r="M14" s="51" t="s">
        <v>43</v>
      </c>
      <c r="N14" s="52" t="s">
        <v>47</v>
      </c>
      <c r="O14" s="52"/>
      <c r="P14" s="37"/>
      <c r="Q14" s="38"/>
      <c r="R14" s="40"/>
      <c r="S14" s="36"/>
      <c r="T14" s="36"/>
      <c r="U14" s="36"/>
      <c r="V14" s="36"/>
      <c r="W14" s="36"/>
      <c r="X14" s="36"/>
      <c r="Y14" s="36"/>
      <c r="Z14" s="36"/>
      <c r="AA14" s="36"/>
      <c r="AE14" s="36"/>
      <c r="AF14" s="36"/>
      <c r="AG14" s="45"/>
      <c r="AH14" s="37"/>
      <c r="AI14" s="46"/>
      <c r="AJ14" s="46"/>
      <c r="AK14" s="36"/>
      <c r="AL14" s="36"/>
      <c r="AM14" s="36"/>
    </row>
    <row r="15" spans="1:39" ht="12.75" customHeight="1" x14ac:dyDescent="0.2">
      <c r="A15" s="58" t="s">
        <v>11</v>
      </c>
      <c r="B15" s="9"/>
      <c r="C15" s="9"/>
      <c r="E15" s="6"/>
      <c r="F15" s="24"/>
      <c r="G15" s="24"/>
      <c r="H15" s="24"/>
      <c r="I15" s="24"/>
      <c r="J15" s="25"/>
      <c r="L15" s="51">
        <f>3.14159*M15^2/4</f>
        <v>1.26676762775</v>
      </c>
      <c r="M15" s="51">
        <v>1.27</v>
      </c>
      <c r="N15" s="52"/>
      <c r="O15" s="52"/>
      <c r="P15" s="37"/>
      <c r="Q15" s="38"/>
      <c r="R15" s="40"/>
      <c r="S15" s="36"/>
      <c r="T15" s="36"/>
      <c r="U15" s="36"/>
      <c r="V15" s="36"/>
      <c r="W15" s="36"/>
      <c r="X15" s="36"/>
      <c r="Y15" s="36"/>
      <c r="Z15" s="36"/>
      <c r="AA15" s="36"/>
      <c r="AE15" s="36"/>
      <c r="AF15" s="36"/>
      <c r="AG15" s="47"/>
      <c r="AH15" s="35"/>
      <c r="AI15" s="46"/>
      <c r="AJ15" s="46"/>
      <c r="AK15" s="36"/>
      <c r="AL15" s="36"/>
      <c r="AM15" s="36"/>
    </row>
    <row r="16" spans="1:39" ht="12.75" customHeight="1" x14ac:dyDescent="0.2">
      <c r="A16" s="6" t="s">
        <v>8</v>
      </c>
      <c r="B16" s="12">
        <v>372</v>
      </c>
      <c r="C16" s="13" t="s">
        <v>9</v>
      </c>
      <c r="D16" s="6"/>
      <c r="E16" s="6"/>
      <c r="F16" s="75" t="s">
        <v>18</v>
      </c>
      <c r="G16" s="76"/>
      <c r="H16" s="76"/>
      <c r="I16" s="24"/>
      <c r="J16" s="25"/>
      <c r="L16" s="51"/>
      <c r="M16" s="51"/>
      <c r="N16" s="52"/>
      <c r="O16" s="52"/>
      <c r="P16" s="37"/>
      <c r="Q16" s="38"/>
      <c r="R16" s="40"/>
      <c r="S16" s="36"/>
      <c r="T16" s="36"/>
      <c r="U16" s="36"/>
      <c r="V16" s="36"/>
      <c r="W16" s="36"/>
      <c r="X16" s="36"/>
      <c r="Y16" s="36"/>
      <c r="Z16" s="36"/>
      <c r="AA16" s="36"/>
      <c r="AE16" s="36"/>
      <c r="AF16" s="36"/>
      <c r="AG16" s="48"/>
      <c r="AH16" s="37"/>
      <c r="AI16" s="46"/>
      <c r="AJ16" s="46"/>
      <c r="AK16" s="36"/>
      <c r="AL16" s="36"/>
      <c r="AM16" s="36"/>
    </row>
    <row r="17" spans="1:39" ht="12.75" customHeight="1" x14ac:dyDescent="0.2">
      <c r="A17" s="6" t="s">
        <v>42</v>
      </c>
      <c r="B17" s="12">
        <v>0.2</v>
      </c>
      <c r="C17" s="13" t="s">
        <v>10</v>
      </c>
      <c r="D17" s="6"/>
      <c r="E17" s="6"/>
      <c r="F17" s="6" t="s">
        <v>19</v>
      </c>
      <c r="G17" s="15">
        <f>B8*(B9-B17)*H8/100</f>
        <v>208.90566415773048</v>
      </c>
      <c r="H17" s="1" t="s">
        <v>20</v>
      </c>
      <c r="I17" s="24"/>
      <c r="J17" s="26"/>
      <c r="K17" s="4"/>
      <c r="L17" s="51"/>
      <c r="M17" s="51" t="s">
        <v>45</v>
      </c>
      <c r="N17" s="52" t="s">
        <v>46</v>
      </c>
      <c r="O17" s="52"/>
      <c r="P17" s="37"/>
      <c r="Q17" s="38"/>
      <c r="R17" s="40"/>
      <c r="S17" s="36"/>
      <c r="T17" s="36"/>
      <c r="U17" s="36"/>
      <c r="V17" s="36"/>
      <c r="W17" s="36"/>
      <c r="X17" s="36"/>
      <c r="Y17" s="36"/>
      <c r="Z17" s="36"/>
      <c r="AA17" s="36"/>
      <c r="AE17" s="36"/>
      <c r="AF17" s="36"/>
      <c r="AG17" s="48"/>
      <c r="AH17" s="37"/>
      <c r="AI17" s="46"/>
      <c r="AJ17" s="46"/>
      <c r="AK17" s="36"/>
      <c r="AL17" s="36"/>
      <c r="AM17" s="36"/>
    </row>
    <row r="18" spans="1:39" ht="12.75" customHeight="1" x14ac:dyDescent="0.2">
      <c r="A18" s="6" t="s">
        <v>12</v>
      </c>
      <c r="B18" s="19">
        <f>B8*B10/B16/0.95*B20</f>
        <v>11.784511884550083</v>
      </c>
      <c r="C18" s="13" t="s">
        <v>13</v>
      </c>
      <c r="D18" s="6"/>
      <c r="E18" s="6"/>
      <c r="F18" s="6" t="s">
        <v>21</v>
      </c>
      <c r="G18" s="15">
        <f>B12+B20+B24+0.5*B30+0.5*B31</f>
        <v>217.85469311260348</v>
      </c>
      <c r="H18" s="13" t="s">
        <v>7</v>
      </c>
      <c r="I18" s="24"/>
      <c r="J18" s="26"/>
      <c r="K18" s="4"/>
      <c r="L18" s="51"/>
      <c r="M18" s="51">
        <v>10</v>
      </c>
      <c r="N18" s="53">
        <f>L15*M18</f>
        <v>12.6676762775</v>
      </c>
      <c r="O18" s="52"/>
      <c r="P18" s="38"/>
      <c r="Q18" s="38"/>
      <c r="R18" s="40"/>
      <c r="S18" s="36"/>
      <c r="T18" s="36"/>
      <c r="U18" s="36"/>
      <c r="V18" s="36"/>
      <c r="W18" s="36"/>
      <c r="X18" s="36"/>
      <c r="Y18" s="37"/>
      <c r="Z18" s="37"/>
      <c r="AA18" s="37"/>
      <c r="AB18" s="6"/>
      <c r="AE18" s="36"/>
      <c r="AF18" s="36"/>
      <c r="AG18" s="36"/>
      <c r="AH18" s="36"/>
      <c r="AI18" s="36"/>
      <c r="AJ18" s="36"/>
      <c r="AK18" s="36"/>
      <c r="AL18" s="36"/>
      <c r="AM18" s="36"/>
    </row>
    <row r="19" spans="1:39" ht="14.25" x14ac:dyDescent="0.2">
      <c r="A19" s="6" t="s">
        <v>15</v>
      </c>
      <c r="B19" s="12">
        <v>2.2599999999999998</v>
      </c>
      <c r="C19" s="13" t="s">
        <v>16</v>
      </c>
      <c r="D19" s="6"/>
      <c r="E19" s="6"/>
      <c r="F19" s="6" t="s">
        <v>22</v>
      </c>
      <c r="G19" s="15">
        <f>B8*B10/1000</f>
        <v>3.4705387499999998</v>
      </c>
      <c r="H19" s="13" t="s">
        <v>23</v>
      </c>
      <c r="I19" s="24"/>
      <c r="J19" s="4"/>
      <c r="K19" s="4"/>
      <c r="L19" s="54"/>
      <c r="M19" s="51">
        <v>20</v>
      </c>
      <c r="N19" s="53">
        <f>L15*M19</f>
        <v>25.335352555</v>
      </c>
      <c r="O19" s="52"/>
      <c r="P19" s="36"/>
      <c r="Q19" s="36"/>
      <c r="R19" s="36"/>
      <c r="S19" s="36"/>
      <c r="T19" s="36"/>
      <c r="U19" s="36"/>
      <c r="V19" s="36"/>
      <c r="W19" s="36"/>
      <c r="X19" s="36"/>
      <c r="Y19" s="37"/>
      <c r="Z19" s="37"/>
      <c r="AA19" s="37"/>
      <c r="AB19" s="6"/>
      <c r="AE19" s="36"/>
      <c r="AF19" s="44"/>
      <c r="AG19" s="36"/>
      <c r="AH19" s="36"/>
      <c r="AI19" s="49"/>
      <c r="AJ19" s="36"/>
      <c r="AK19" s="36"/>
      <c r="AL19" s="36"/>
      <c r="AM19" s="36"/>
    </row>
    <row r="20" spans="1:39" x14ac:dyDescent="0.2">
      <c r="A20" s="6" t="s">
        <v>78</v>
      </c>
      <c r="B20" s="63">
        <v>1.2</v>
      </c>
      <c r="C20" s="13"/>
      <c r="D20" s="6"/>
      <c r="E20" s="6"/>
      <c r="F20" s="6" t="s">
        <v>24</v>
      </c>
      <c r="G20" s="15">
        <f>G17*(SUM(G8:G12)/1000000)/(G18/10000)*1000</f>
        <v>586.09997001237593</v>
      </c>
      <c r="H20" s="13" t="s">
        <v>25</v>
      </c>
      <c r="I20" s="24"/>
      <c r="L20" s="55"/>
      <c r="M20" s="56">
        <v>30</v>
      </c>
      <c r="N20" s="57">
        <f>L15*M20</f>
        <v>38.0030288325</v>
      </c>
      <c r="O20" s="52"/>
      <c r="P20" s="36"/>
      <c r="Q20" s="36"/>
      <c r="R20" s="36"/>
      <c r="S20" s="36"/>
      <c r="T20" s="36"/>
      <c r="U20" s="36"/>
      <c r="V20" s="36"/>
      <c r="W20" s="36"/>
      <c r="X20" s="36"/>
      <c r="Y20" s="37"/>
      <c r="Z20" s="37"/>
      <c r="AA20" s="37"/>
      <c r="AB20" s="6"/>
      <c r="AE20" s="36"/>
      <c r="AF20" s="36"/>
      <c r="AG20" s="36"/>
      <c r="AH20" s="36"/>
      <c r="AI20" s="36"/>
      <c r="AJ20" s="36"/>
      <c r="AK20" s="36"/>
      <c r="AL20" s="36"/>
      <c r="AM20" s="36"/>
    </row>
    <row r="21" spans="1:39" ht="14.25" x14ac:dyDescent="0.2">
      <c r="A21" s="6" t="s">
        <v>70</v>
      </c>
      <c r="B21" s="59">
        <f>B18*0.95*B16/(B10*B8)*100-100</f>
        <v>19.999999999999972</v>
      </c>
      <c r="C21" s="13" t="s">
        <v>6</v>
      </c>
      <c r="D21" s="6"/>
      <c r="E21" s="6"/>
      <c r="F21" s="6" t="s">
        <v>26</v>
      </c>
      <c r="G21" s="15">
        <f>G19/(G18/10000)</f>
        <v>159.30520937669988</v>
      </c>
      <c r="H21" s="13" t="s">
        <v>27</v>
      </c>
      <c r="I21" s="24"/>
      <c r="L21" s="41"/>
      <c r="M21" s="38"/>
      <c r="N21" s="39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7"/>
      <c r="Z21" s="37"/>
      <c r="AA21" s="37"/>
      <c r="AB21" s="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39" ht="14.25" x14ac:dyDescent="0.2">
      <c r="A22" s="6"/>
      <c r="B22" s="6"/>
      <c r="C22" s="13"/>
      <c r="D22" s="6"/>
      <c r="E22" s="6"/>
      <c r="F22" s="6" t="s">
        <v>15</v>
      </c>
      <c r="G22" s="15">
        <f>G20/G17</f>
        <v>2.8055724212908446</v>
      </c>
      <c r="H22" s="13" t="s">
        <v>16</v>
      </c>
      <c r="J22" s="4"/>
      <c r="L22" s="41"/>
      <c r="M22" s="38"/>
      <c r="N22" s="39"/>
      <c r="O22" s="36"/>
      <c r="P22" s="35"/>
      <c r="Q22" s="37"/>
      <c r="R22" s="36"/>
      <c r="S22" s="36"/>
      <c r="T22" s="37"/>
      <c r="U22" s="36"/>
      <c r="V22" s="36"/>
      <c r="W22" s="36"/>
      <c r="X22" s="36"/>
      <c r="Y22" s="37"/>
      <c r="Z22" s="37"/>
      <c r="AA22" s="37"/>
      <c r="AB22" s="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1:39" x14ac:dyDescent="0.2">
      <c r="A23" s="10" t="s">
        <v>14</v>
      </c>
      <c r="B23" s="6"/>
      <c r="C23" s="27"/>
      <c r="D23" s="6"/>
      <c r="E23" s="6"/>
      <c r="F23" s="14"/>
      <c r="I23" s="65"/>
      <c r="J23" s="66"/>
      <c r="L23" s="41"/>
      <c r="M23" s="38"/>
      <c r="N23" s="39"/>
      <c r="O23" s="36"/>
      <c r="P23" s="37"/>
      <c r="Q23" s="42"/>
      <c r="R23" s="36"/>
      <c r="S23" s="36"/>
      <c r="T23" s="37"/>
      <c r="U23" s="37"/>
      <c r="V23" s="37"/>
      <c r="W23" s="37"/>
      <c r="X23" s="37"/>
      <c r="Y23" s="37"/>
      <c r="Z23" s="37"/>
      <c r="AA23" s="37"/>
      <c r="AB23" s="6"/>
      <c r="AE23" s="36"/>
      <c r="AF23" s="36"/>
      <c r="AG23" s="36"/>
      <c r="AH23" s="36"/>
      <c r="AI23" s="36"/>
      <c r="AJ23" s="36"/>
      <c r="AK23" s="36"/>
      <c r="AL23" s="37"/>
      <c r="AM23" s="37"/>
    </row>
    <row r="24" spans="1:39" x14ac:dyDescent="0.2">
      <c r="A24" s="28" t="s">
        <v>4</v>
      </c>
      <c r="B24" s="29">
        <v>55</v>
      </c>
      <c r="C24" s="13" t="s">
        <v>7</v>
      </c>
      <c r="D24" s="6"/>
      <c r="E24" s="6"/>
      <c r="F24" s="67" t="s">
        <v>35</v>
      </c>
      <c r="G24" s="66"/>
      <c r="H24" s="66"/>
      <c r="I24" s="66"/>
      <c r="J24" s="66"/>
      <c r="L24" s="41"/>
      <c r="M24" s="38"/>
      <c r="N24" s="39"/>
      <c r="O24" s="36"/>
      <c r="P24" s="37"/>
      <c r="Q24" s="42"/>
      <c r="R24" s="36"/>
      <c r="S24" s="36"/>
      <c r="T24" s="37"/>
      <c r="U24" s="37"/>
      <c r="V24" s="37"/>
      <c r="W24" s="37"/>
      <c r="X24" s="37"/>
      <c r="Y24" s="37"/>
      <c r="Z24" s="37"/>
      <c r="AA24" s="37"/>
      <c r="AB24" s="6"/>
      <c r="AE24" s="36"/>
      <c r="AF24" s="50"/>
      <c r="AG24" s="35"/>
      <c r="AH24" s="35"/>
      <c r="AI24" s="35"/>
      <c r="AJ24" s="35"/>
      <c r="AK24" s="35"/>
      <c r="AL24" s="37"/>
      <c r="AM24" s="37"/>
    </row>
    <row r="25" spans="1:39" ht="14.25" x14ac:dyDescent="0.2">
      <c r="A25" s="6" t="s">
        <v>15</v>
      </c>
      <c r="B25" s="12">
        <v>1.75</v>
      </c>
      <c r="C25" s="13" t="s">
        <v>16</v>
      </c>
      <c r="D25" s="6"/>
      <c r="E25" s="6"/>
      <c r="F25" s="66"/>
      <c r="G25" s="66"/>
      <c r="H25" s="66"/>
      <c r="I25" s="7"/>
      <c r="L25" s="41"/>
      <c r="M25" s="38"/>
      <c r="N25" s="39"/>
      <c r="O25" s="36"/>
      <c r="P25" s="37"/>
      <c r="Q25" s="42"/>
      <c r="R25" s="39"/>
      <c r="S25" s="36"/>
      <c r="T25" s="37"/>
      <c r="U25" s="37"/>
      <c r="V25" s="37"/>
      <c r="W25" s="37"/>
      <c r="X25" s="37"/>
      <c r="Y25" s="37"/>
      <c r="Z25" s="37"/>
      <c r="AA25" s="37"/>
      <c r="AB25" s="6"/>
      <c r="AE25" s="36"/>
      <c r="AF25" s="37"/>
      <c r="AG25" s="38"/>
      <c r="AH25" s="37"/>
      <c r="AI25" s="38"/>
      <c r="AJ25" s="37"/>
      <c r="AK25" s="38"/>
      <c r="AL25" s="37"/>
      <c r="AM25" s="37"/>
    </row>
    <row r="26" spans="1:39" x14ac:dyDescent="0.2">
      <c r="D26" s="6"/>
      <c r="E26" s="6"/>
      <c r="F26" s="68"/>
      <c r="G26" s="68"/>
      <c r="H26" s="68"/>
      <c r="I26" s="7"/>
      <c r="L26" s="41"/>
      <c r="M26" s="38"/>
      <c r="N26" s="39"/>
      <c r="O26" s="36"/>
      <c r="P26" s="37"/>
      <c r="Q26" s="42"/>
      <c r="R26" s="36"/>
      <c r="S26" s="36"/>
      <c r="T26" s="37"/>
      <c r="U26" s="37"/>
      <c r="V26" s="37"/>
      <c r="W26" s="37"/>
      <c r="X26" s="37"/>
      <c r="Y26" s="37"/>
      <c r="Z26" s="37"/>
      <c r="AA26" s="37"/>
      <c r="AB26" s="6"/>
      <c r="AE26" s="36"/>
      <c r="AF26" s="38"/>
      <c r="AG26" s="38"/>
      <c r="AH26" s="38"/>
      <c r="AI26" s="38"/>
      <c r="AJ26" s="38"/>
      <c r="AK26" s="38"/>
      <c r="AL26" s="37"/>
      <c r="AM26" s="37"/>
    </row>
    <row r="27" spans="1:39" x14ac:dyDescent="0.2">
      <c r="D27" s="6"/>
      <c r="E27" s="6"/>
      <c r="I27" s="7"/>
      <c r="L27" s="41"/>
      <c r="M27" s="39"/>
      <c r="N27" s="39"/>
      <c r="O27" s="36"/>
      <c r="P27" s="37"/>
      <c r="Q27" s="42"/>
      <c r="R27" s="39"/>
      <c r="S27" s="36"/>
      <c r="T27" s="37"/>
      <c r="U27" s="37"/>
      <c r="V27" s="37"/>
      <c r="W27" s="37"/>
      <c r="X27" s="37"/>
      <c r="Y27" s="37"/>
      <c r="Z27" s="37"/>
      <c r="AA27" s="37"/>
      <c r="AB27" s="6"/>
      <c r="AE27" s="36"/>
      <c r="AF27" s="37"/>
      <c r="AG27" s="38"/>
      <c r="AH27" s="37"/>
      <c r="AI27" s="38"/>
      <c r="AJ27" s="37"/>
      <c r="AK27" s="38"/>
      <c r="AL27" s="37"/>
      <c r="AM27" s="37"/>
    </row>
    <row r="28" spans="1:39" x14ac:dyDescent="0.2">
      <c r="A28" s="58" t="s">
        <v>28</v>
      </c>
      <c r="B28" s="11"/>
      <c r="C28" s="9"/>
      <c r="E28" s="6"/>
      <c r="F28" s="1" t="s">
        <v>80</v>
      </c>
      <c r="I28" s="18"/>
      <c r="L28" s="26" t="s">
        <v>30</v>
      </c>
      <c r="M28" s="30"/>
      <c r="N28" s="39"/>
      <c r="O28" s="36"/>
      <c r="P28" s="36"/>
      <c r="Q28" s="36"/>
      <c r="R28" s="36"/>
      <c r="S28" s="36"/>
      <c r="T28" s="37"/>
      <c r="U28" s="37"/>
      <c r="V28" s="37"/>
      <c r="W28" s="37"/>
      <c r="X28" s="37"/>
      <c r="Y28" s="37"/>
      <c r="Z28" s="37"/>
      <c r="AA28" s="37"/>
      <c r="AB28" s="6"/>
      <c r="AE28" s="36"/>
      <c r="AF28" s="37"/>
      <c r="AG28" s="38"/>
      <c r="AH28" s="37"/>
      <c r="AI28" s="38"/>
      <c r="AJ28" s="37"/>
      <c r="AK28" s="38"/>
      <c r="AL28" s="37"/>
      <c r="AM28" s="37"/>
    </row>
    <row r="29" spans="1:39" ht="15.75" x14ac:dyDescent="0.25">
      <c r="B29" s="6" t="s">
        <v>29</v>
      </c>
      <c r="C29" s="6" t="s">
        <v>13</v>
      </c>
      <c r="D29" s="6"/>
      <c r="E29" s="6"/>
      <c r="F29" s="15">
        <f>(G17*G14*B41*B40/1000)/(G14*B41*B40/1000+B43)</f>
        <v>206.83153870128245</v>
      </c>
      <c r="G29" s="1" t="s">
        <v>20</v>
      </c>
      <c r="I29" s="18"/>
      <c r="L29" s="26" t="s">
        <v>31</v>
      </c>
      <c r="M29" s="31"/>
      <c r="N29" s="39"/>
      <c r="O29" s="36"/>
      <c r="P29" s="69"/>
      <c r="Q29" s="70"/>
      <c r="R29" s="70"/>
      <c r="S29" s="36"/>
      <c r="T29" s="37"/>
      <c r="U29" s="37"/>
      <c r="V29" s="37"/>
      <c r="W29" s="37"/>
      <c r="X29" s="37"/>
      <c r="Y29" s="37"/>
      <c r="Z29" s="37"/>
      <c r="AA29" s="37"/>
      <c r="AB29" s="6"/>
      <c r="AE29" s="36"/>
      <c r="AF29" s="38"/>
      <c r="AG29" s="38"/>
      <c r="AH29" s="38"/>
      <c r="AI29" s="38"/>
      <c r="AJ29" s="38"/>
      <c r="AK29" s="38"/>
      <c r="AL29" s="37"/>
      <c r="AM29" s="37"/>
    </row>
    <row r="30" spans="1:39" x14ac:dyDescent="0.2">
      <c r="A30" s="6" t="s">
        <v>81</v>
      </c>
      <c r="B30" s="12">
        <v>25</v>
      </c>
      <c r="C30" s="61">
        <f>2700*B30/10000*0.24</f>
        <v>1.6199999999999999</v>
      </c>
      <c r="D30" s="6"/>
      <c r="E30" s="6"/>
      <c r="F30" s="1" t="s">
        <v>80</v>
      </c>
      <c r="I30" s="18"/>
      <c r="K30" s="32"/>
      <c r="L30" s="41"/>
      <c r="M30" s="38"/>
      <c r="N30" s="39"/>
      <c r="O30" s="36"/>
      <c r="P30" s="70"/>
      <c r="Q30" s="70"/>
      <c r="R30" s="70"/>
      <c r="S30" s="36"/>
      <c r="T30" s="37"/>
      <c r="U30" s="37"/>
      <c r="V30" s="37"/>
      <c r="W30" s="37"/>
      <c r="X30" s="37"/>
      <c r="Y30" s="37"/>
      <c r="Z30" s="37"/>
      <c r="AA30" s="37"/>
      <c r="AB30" s="6"/>
      <c r="AE30" s="36"/>
      <c r="AF30" s="37"/>
      <c r="AG30" s="38"/>
      <c r="AH30" s="37"/>
      <c r="AI30" s="38"/>
      <c r="AJ30" s="37"/>
      <c r="AK30" s="38"/>
      <c r="AL30" s="37"/>
      <c r="AM30" s="37"/>
    </row>
    <row r="31" spans="1:39" x14ac:dyDescent="0.2">
      <c r="A31" s="6" t="s">
        <v>82</v>
      </c>
      <c r="B31" s="12">
        <v>25</v>
      </c>
      <c r="C31" s="61">
        <f>8960*B31/10000*0.138</f>
        <v>3.0912000000000002</v>
      </c>
      <c r="D31" s="6"/>
      <c r="E31" s="24"/>
      <c r="F31" s="15">
        <f>(G17*SUM(G8:G12)*B41*B40/1000)/((B35*2+SUM(I8:I11)*B40)/10000*B42)</f>
        <v>390.54618174173123</v>
      </c>
      <c r="G31" s="1" t="s">
        <v>25</v>
      </c>
      <c r="I31" s="18"/>
      <c r="L31" s="37"/>
      <c r="M31" s="38"/>
      <c r="N31" s="39"/>
      <c r="O31" s="36"/>
      <c r="P31" s="36"/>
      <c r="Q31" s="36"/>
      <c r="R31" s="36"/>
      <c r="S31" s="37"/>
      <c r="T31" s="37"/>
      <c r="U31" s="37"/>
      <c r="V31" s="37"/>
      <c r="W31" s="37"/>
      <c r="X31" s="37"/>
      <c r="Y31" s="36"/>
      <c r="Z31" s="36"/>
      <c r="AA31" s="36"/>
      <c r="AF31" s="6"/>
      <c r="AG31" s="14"/>
      <c r="AH31" s="6"/>
      <c r="AI31" s="14"/>
      <c r="AJ31" s="6"/>
      <c r="AK31" s="14"/>
      <c r="AL31" s="6"/>
      <c r="AM31" s="6"/>
    </row>
    <row r="32" spans="1:39" x14ac:dyDescent="0.2">
      <c r="E32" s="24"/>
      <c r="I32" s="18"/>
      <c r="L32" s="37"/>
      <c r="M32" s="37"/>
      <c r="N32" s="36"/>
      <c r="O32" s="36"/>
      <c r="P32" s="36"/>
      <c r="Q32" s="36"/>
      <c r="R32" s="36"/>
      <c r="S32" s="37"/>
      <c r="T32" s="37"/>
      <c r="U32" s="37"/>
      <c r="V32" s="37"/>
      <c r="W32" s="37"/>
      <c r="X32" s="37"/>
      <c r="Y32" s="36"/>
      <c r="Z32" s="36"/>
      <c r="AA32" s="36"/>
    </row>
    <row r="33" spans="1:27" x14ac:dyDescent="0.2">
      <c r="A33" s="58" t="s">
        <v>32</v>
      </c>
      <c r="B33" s="11"/>
      <c r="C33" s="9"/>
      <c r="E33" s="24"/>
      <c r="F33" s="6" t="s">
        <v>85</v>
      </c>
      <c r="I33" s="18"/>
      <c r="J33" s="33"/>
      <c r="L33" s="37"/>
      <c r="M33" s="37"/>
      <c r="N33" s="36"/>
      <c r="O33" s="36"/>
      <c r="P33" s="36"/>
      <c r="Q33" s="36"/>
      <c r="R33" s="36"/>
      <c r="S33" s="37"/>
      <c r="T33" s="37"/>
      <c r="U33" s="37"/>
      <c r="V33" s="37"/>
      <c r="W33" s="37"/>
      <c r="X33" s="37"/>
      <c r="Y33" s="36"/>
      <c r="Z33" s="36"/>
      <c r="AA33" s="36"/>
    </row>
    <row r="34" spans="1:27" ht="12.75" customHeight="1" x14ac:dyDescent="0.2">
      <c r="A34" s="6" t="s">
        <v>83</v>
      </c>
      <c r="B34" s="12">
        <v>1.5</v>
      </c>
      <c r="C34" s="13" t="s">
        <v>16</v>
      </c>
      <c r="E34" s="24"/>
      <c r="F34" s="64">
        <f>SUM(H8:H10)</f>
        <v>84.887876162276882</v>
      </c>
      <c r="I34" s="18"/>
      <c r="J34" s="6"/>
      <c r="L34" s="37"/>
      <c r="M34" s="43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x14ac:dyDescent="0.2">
      <c r="A35" s="6" t="s">
        <v>84</v>
      </c>
      <c r="B35" s="12">
        <v>100</v>
      </c>
      <c r="C35" s="13" t="s">
        <v>7</v>
      </c>
      <c r="E35" s="24"/>
      <c r="F35" s="6" t="s">
        <v>88</v>
      </c>
      <c r="I35" s="18"/>
      <c r="J35" s="6"/>
      <c r="K35" s="13"/>
      <c r="L35" s="37"/>
      <c r="M35" s="43"/>
      <c r="N35" s="36"/>
      <c r="O35" s="39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x14ac:dyDescent="0.2">
      <c r="A36" s="6" t="s">
        <v>59</v>
      </c>
      <c r="B36" s="59">
        <f>(C30+C31)*0.25/1000</f>
        <v>1.1777999999999999E-3</v>
      </c>
      <c r="C36" s="13" t="s">
        <v>61</v>
      </c>
      <c r="E36" s="6"/>
      <c r="F36" s="64">
        <f>SUM(H11:H13)</f>
        <v>15.11212383772313</v>
      </c>
      <c r="I36" s="18"/>
      <c r="K36" s="25"/>
      <c r="L36" s="37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x14ac:dyDescent="0.2">
      <c r="A37" s="6" t="s">
        <v>60</v>
      </c>
      <c r="B37" s="60">
        <v>7.5999999999999998E-2</v>
      </c>
      <c r="C37" s="1" t="s">
        <v>61</v>
      </c>
      <c r="I37" s="18"/>
      <c r="K37" s="2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x14ac:dyDescent="0.2">
      <c r="A38" s="6" t="s">
        <v>63</v>
      </c>
      <c r="B38" s="60">
        <v>4</v>
      </c>
      <c r="C38" s="1" t="s">
        <v>64</v>
      </c>
      <c r="I38" s="18"/>
      <c r="K38" s="2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x14ac:dyDescent="0.2">
      <c r="A39" s="6" t="s">
        <v>62</v>
      </c>
      <c r="B39" s="60">
        <v>4</v>
      </c>
      <c r="C39" s="1" t="s">
        <v>64</v>
      </c>
      <c r="I39" s="18"/>
      <c r="K39" s="2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x14ac:dyDescent="0.2">
      <c r="A40" s="6" t="s">
        <v>69</v>
      </c>
      <c r="B40" s="60">
        <v>8</v>
      </c>
      <c r="I40" s="18"/>
      <c r="K40" s="2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ht="14.25" x14ac:dyDescent="0.2">
      <c r="A41" s="6" t="s">
        <v>68</v>
      </c>
      <c r="B41" s="59">
        <f>B39*B38</f>
        <v>16</v>
      </c>
      <c r="C41" s="13" t="s">
        <v>66</v>
      </c>
      <c r="I41" s="18"/>
      <c r="K41" s="2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ht="14.25" x14ac:dyDescent="0.2">
      <c r="A42" s="6" t="s">
        <v>65</v>
      </c>
      <c r="B42" s="59">
        <f>(B38+0.2)*(B39+0.2)</f>
        <v>17.64</v>
      </c>
      <c r="C42" s="13" t="s">
        <v>66</v>
      </c>
      <c r="I42" s="18"/>
      <c r="K42" s="2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x14ac:dyDescent="0.2">
      <c r="A43" s="6" t="s">
        <v>67</v>
      </c>
      <c r="B43" s="59">
        <f>B34*B35*0.0001*B42*2+B36+B37*2</f>
        <v>0.68237780000000003</v>
      </c>
      <c r="C43" s="1" t="s">
        <v>61</v>
      </c>
      <c r="I43" s="18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x14ac:dyDescent="0.2">
      <c r="L44" s="36"/>
      <c r="M44" s="36"/>
      <c r="N44" s="36"/>
      <c r="O44" s="38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x14ac:dyDescent="0.2">
      <c r="A45" s="58" t="s">
        <v>48</v>
      </c>
      <c r="B45" s="9"/>
      <c r="C45" s="9"/>
      <c r="L45" s="36"/>
      <c r="M45" s="36"/>
      <c r="N45" s="36"/>
      <c r="O45" s="38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x14ac:dyDescent="0.2">
      <c r="A46" s="6" t="s">
        <v>49</v>
      </c>
      <c r="B46" s="12">
        <v>145</v>
      </c>
      <c r="C46" s="13" t="s">
        <v>9</v>
      </c>
      <c r="L46" s="36"/>
      <c r="M46" s="36"/>
      <c r="N46" s="36"/>
      <c r="O46" s="38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x14ac:dyDescent="0.2">
      <c r="A47" s="6" t="s">
        <v>50</v>
      </c>
      <c r="B47" s="12">
        <v>70.5</v>
      </c>
      <c r="C47" s="13" t="s">
        <v>6</v>
      </c>
      <c r="L47" s="36"/>
      <c r="M47" s="36"/>
      <c r="N47" s="36"/>
      <c r="O47" s="42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1:27" x14ac:dyDescent="0.2">
      <c r="A48" s="6" t="s">
        <v>51</v>
      </c>
      <c r="B48" s="12">
        <v>97</v>
      </c>
      <c r="C48" s="1" t="s">
        <v>6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1:27" ht="14.25" x14ac:dyDescent="0.2">
      <c r="A49" s="6" t="s">
        <v>54</v>
      </c>
      <c r="B49" s="12">
        <v>3.04</v>
      </c>
      <c r="C49" s="13" t="s">
        <v>16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1:27" x14ac:dyDescent="0.2">
      <c r="A50" s="6"/>
      <c r="B50" s="6"/>
      <c r="C50" s="13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1:27" x14ac:dyDescent="0.2">
      <c r="A51" s="6" t="s">
        <v>77</v>
      </c>
      <c r="B51" s="12">
        <v>25</v>
      </c>
      <c r="C51" s="1" t="s">
        <v>6</v>
      </c>
    </row>
    <row r="52" spans="1:27" ht="14.25" x14ac:dyDescent="0.2">
      <c r="A52" s="6" t="s">
        <v>76</v>
      </c>
      <c r="B52" s="12">
        <v>1.3</v>
      </c>
      <c r="C52" s="13" t="s">
        <v>16</v>
      </c>
    </row>
    <row r="53" spans="1:27" x14ac:dyDescent="0.2">
      <c r="A53" s="6"/>
      <c r="B53" s="6"/>
      <c r="C53" s="13"/>
    </row>
    <row r="54" spans="1:27" x14ac:dyDescent="0.2">
      <c r="A54" s="6" t="s">
        <v>52</v>
      </c>
      <c r="B54" s="12">
        <v>3</v>
      </c>
      <c r="C54" s="1" t="s">
        <v>6</v>
      </c>
      <c r="P54" s="25"/>
    </row>
    <row r="55" spans="1:27" ht="14.25" x14ac:dyDescent="0.2">
      <c r="A55" s="6" t="s">
        <v>55</v>
      </c>
      <c r="B55" s="12">
        <v>2</v>
      </c>
      <c r="C55" s="13" t="s">
        <v>16</v>
      </c>
    </row>
    <row r="56" spans="1:27" x14ac:dyDescent="0.2">
      <c r="A56" s="6"/>
      <c r="B56" s="6"/>
      <c r="C56" s="13"/>
    </row>
    <row r="57" spans="1:27" x14ac:dyDescent="0.2">
      <c r="A57" s="6" t="s">
        <v>56</v>
      </c>
      <c r="B57" s="12">
        <v>1.5</v>
      </c>
      <c r="C57" s="1" t="s">
        <v>6</v>
      </c>
    </row>
    <row r="58" spans="1:27" ht="14.25" x14ac:dyDescent="0.2">
      <c r="A58" s="6" t="s">
        <v>57</v>
      </c>
      <c r="B58" s="12">
        <v>2.2000000000000002</v>
      </c>
      <c r="C58" s="13" t="s">
        <v>16</v>
      </c>
    </row>
    <row r="59" spans="1:27" x14ac:dyDescent="0.2">
      <c r="L59" s="6"/>
    </row>
    <row r="60" spans="1:27" ht="14.25" x14ac:dyDescent="0.2">
      <c r="A60" s="6" t="s">
        <v>53</v>
      </c>
      <c r="B60" s="59">
        <f>(B47*B49+B51*B52+B54*B55+B57*B58)/100</f>
        <v>2.5611999999999999</v>
      </c>
      <c r="C60" s="13" t="s">
        <v>16</v>
      </c>
      <c r="L60" s="6"/>
    </row>
    <row r="61" spans="1:27" x14ac:dyDescent="0.2">
      <c r="L61" s="6"/>
    </row>
    <row r="62" spans="1:27" x14ac:dyDescent="0.2">
      <c r="L62" s="6"/>
    </row>
    <row r="63" spans="1:27" x14ac:dyDescent="0.2">
      <c r="L63" s="6"/>
    </row>
    <row r="64" spans="1:27" x14ac:dyDescent="0.2">
      <c r="L64" s="6"/>
    </row>
    <row r="65" spans="12:12" x14ac:dyDescent="0.2">
      <c r="L65" s="6"/>
    </row>
    <row r="66" spans="12:12" x14ac:dyDescent="0.2">
      <c r="L66" s="6"/>
    </row>
  </sheetData>
  <mergeCells count="9">
    <mergeCell ref="I23:J24"/>
    <mergeCell ref="F24:H26"/>
    <mergeCell ref="P29:R30"/>
    <mergeCell ref="A4:C4"/>
    <mergeCell ref="F4:I4"/>
    <mergeCell ref="L4:N6"/>
    <mergeCell ref="P4:R4"/>
    <mergeCell ref="G6:G7"/>
    <mergeCell ref="F16:H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01B1-084B-4E8D-83AA-B316265E7FE4}">
  <dimension ref="C1:J22"/>
  <sheetViews>
    <sheetView workbookViewId="0">
      <selection activeCell="D1" sqref="D1:D5"/>
    </sheetView>
  </sheetViews>
  <sheetFormatPr defaultRowHeight="15" x14ac:dyDescent="0.25"/>
  <sheetData>
    <row r="1" spans="3:10" x14ac:dyDescent="0.25">
      <c r="C1" t="s">
        <v>5</v>
      </c>
      <c r="D1">
        <v>52.669763776017255</v>
      </c>
      <c r="F1">
        <v>53.132657076114576</v>
      </c>
      <c r="G1">
        <v>50.688123400901532</v>
      </c>
      <c r="I1">
        <v>52.669763776017255</v>
      </c>
      <c r="J1">
        <v>52.669763776017255</v>
      </c>
    </row>
    <row r="2" spans="3:10" x14ac:dyDescent="0.25">
      <c r="C2" t="s">
        <v>11</v>
      </c>
      <c r="D2">
        <v>17.73392734785488</v>
      </c>
      <c r="F2">
        <v>17.889783679177036</v>
      </c>
      <c r="G2">
        <v>17.066708360670436</v>
      </c>
      <c r="I2">
        <v>17.73392734785488</v>
      </c>
      <c r="J2">
        <v>17.73392734785488</v>
      </c>
    </row>
    <row r="3" spans="3:10" x14ac:dyDescent="0.25">
      <c r="C3" t="s">
        <v>71</v>
      </c>
      <c r="D3">
        <v>14.484185038404746</v>
      </c>
      <c r="F3">
        <v>15.939797122834372</v>
      </c>
      <c r="G3">
        <v>5.9397971228344</v>
      </c>
      <c r="I3">
        <v>14.484185038404746</v>
      </c>
      <c r="J3">
        <v>14.484185038404746</v>
      </c>
    </row>
    <row r="4" spans="3:10" x14ac:dyDescent="0.25">
      <c r="C4" t="s">
        <v>72</v>
      </c>
      <c r="D4">
        <v>7.0896511743306423</v>
      </c>
      <c r="F4">
        <v>2.4592829846658746</v>
      </c>
      <c r="G4">
        <f>F4+F5</f>
        <v>7.1519592576283131</v>
      </c>
      <c r="I4">
        <v>2.4378576376327987</v>
      </c>
      <c r="J4">
        <f>I4+I5</f>
        <v>7.0896511743306423</v>
      </c>
    </row>
    <row r="5" spans="3:10" x14ac:dyDescent="0.25">
      <c r="C5" t="s">
        <v>73</v>
      </c>
      <c r="D5">
        <v>8.0224726633924881</v>
      </c>
      <c r="F5">
        <v>4.6926762729624389</v>
      </c>
      <c r="G5">
        <v>19.484505583855942</v>
      </c>
      <c r="I5">
        <v>4.651793536697844</v>
      </c>
      <c r="J5">
        <v>8.0224726633924881</v>
      </c>
    </row>
    <row r="6" spans="3:10" x14ac:dyDescent="0.25">
      <c r="F6">
        <v>5.8858028642456972</v>
      </c>
      <c r="I6">
        <v>8.0224726633924881</v>
      </c>
    </row>
    <row r="7" spans="3:10" x14ac:dyDescent="0.25">
      <c r="G7">
        <f>SUM(G1:G5)</f>
        <v>100.33109372589061</v>
      </c>
    </row>
    <row r="21" spans="3:4" x14ac:dyDescent="0.25">
      <c r="C21" t="s">
        <v>74</v>
      </c>
      <c r="D21" t="s">
        <v>75</v>
      </c>
    </row>
    <row r="22" spans="3:4" x14ac:dyDescent="0.25">
      <c r="C22">
        <v>195</v>
      </c>
      <c r="D22">
        <v>234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 1</vt:lpstr>
      <vt:lpstr>Phase 2</vt:lpstr>
      <vt:lpstr>Phase 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Zhao, Lihong</cp:lastModifiedBy>
  <dcterms:created xsi:type="dcterms:W3CDTF">2014-02-20T16:20:51Z</dcterms:created>
  <dcterms:modified xsi:type="dcterms:W3CDTF">2026-04-30T19:41:46Z</dcterms:modified>
</cp:coreProperties>
</file>