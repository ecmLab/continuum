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f06a5eb28a5d639/Documents/Dr Tu Laptop Backup ORGANIZE LATER/"/>
    </mc:Choice>
  </mc:AlternateContent>
  <xr:revisionPtr revIDLastSave="84" documentId="13_ncr:1_{D4713ADD-E70E-483D-B0C3-11FB43D85B9E}" xr6:coauthVersionLast="47" xr6:coauthVersionMax="47" xr10:uidLastSave="{85B13630-1DE8-421F-8119-5AE3D7E06EC3}"/>
  <bookViews>
    <workbookView xWindow="-120" yWindow="-120" windowWidth="29040" windowHeight="17520" xr2:uid="{00000000-000D-0000-FFFF-FFFF00000000}"/>
  </bookViews>
  <sheets>
    <sheet name="MATLAB Input" sheetId="3" r:id="rId1"/>
    <sheet name="Constants" sheetId="2" r:id="rId2"/>
    <sheet name="Values" sheetId="1" r:id="rId3"/>
    <sheet name="Quantum Dot" sheetId="8" r:id="rId4"/>
    <sheet name="10um Microsphere" sheetId="10" r:id="rId5"/>
    <sheet name="2um Microsphere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0" l="1"/>
  <c r="G124" i="3" s="1"/>
  <c r="G5" i="10"/>
  <c r="G4" i="10"/>
  <c r="G3" i="10"/>
  <c r="G121" i="3" s="1"/>
  <c r="G2" i="10"/>
  <c r="K2" i="10" s="1"/>
  <c r="K4" i="10"/>
  <c r="K5" i="10"/>
  <c r="G6" i="11"/>
  <c r="G5" i="11"/>
  <c r="K5" i="11" s="1"/>
  <c r="G4" i="11"/>
  <c r="K4" i="11" s="1"/>
  <c r="G3" i="11"/>
  <c r="G126" i="3" s="1"/>
  <c r="K3" i="11"/>
  <c r="K6" i="11"/>
  <c r="K2" i="11"/>
  <c r="G2" i="11"/>
  <c r="A126" i="3"/>
  <c r="B126" i="3"/>
  <c r="C126" i="3"/>
  <c r="D126" i="3"/>
  <c r="E126" i="3"/>
  <c r="F126" i="3"/>
  <c r="H126" i="3"/>
  <c r="I126" i="3"/>
  <c r="J126" i="3"/>
  <c r="A127" i="3"/>
  <c r="B127" i="3"/>
  <c r="C127" i="3"/>
  <c r="D127" i="3"/>
  <c r="E127" i="3"/>
  <c r="F127" i="3"/>
  <c r="G127" i="3"/>
  <c r="H127" i="3"/>
  <c r="I127" i="3"/>
  <c r="J127" i="3"/>
  <c r="A128" i="3"/>
  <c r="B128" i="3"/>
  <c r="C128" i="3"/>
  <c r="D128" i="3"/>
  <c r="E128" i="3"/>
  <c r="F128" i="3"/>
  <c r="G128" i="3"/>
  <c r="H128" i="3"/>
  <c r="I128" i="3"/>
  <c r="J128" i="3"/>
  <c r="A129" i="3"/>
  <c r="B129" i="3"/>
  <c r="C129" i="3"/>
  <c r="D129" i="3"/>
  <c r="E129" i="3"/>
  <c r="F129" i="3"/>
  <c r="G129" i="3"/>
  <c r="H129" i="3"/>
  <c r="I129" i="3"/>
  <c r="J129" i="3"/>
  <c r="A121" i="3"/>
  <c r="B121" i="3"/>
  <c r="C121" i="3"/>
  <c r="D121" i="3"/>
  <c r="E121" i="3"/>
  <c r="F121" i="3"/>
  <c r="H121" i="3"/>
  <c r="I121" i="3"/>
  <c r="J121" i="3"/>
  <c r="A122" i="3"/>
  <c r="B122" i="3"/>
  <c r="C122" i="3"/>
  <c r="D122" i="3"/>
  <c r="E122" i="3"/>
  <c r="F122" i="3"/>
  <c r="G122" i="3"/>
  <c r="H122" i="3"/>
  <c r="I122" i="3"/>
  <c r="J122" i="3"/>
  <c r="A123" i="3"/>
  <c r="B123" i="3"/>
  <c r="C123" i="3"/>
  <c r="D123" i="3"/>
  <c r="E123" i="3"/>
  <c r="F123" i="3"/>
  <c r="G123" i="3"/>
  <c r="H123" i="3"/>
  <c r="I123" i="3"/>
  <c r="J123" i="3"/>
  <c r="A124" i="3"/>
  <c r="B124" i="3"/>
  <c r="C124" i="3"/>
  <c r="D124" i="3"/>
  <c r="E124" i="3"/>
  <c r="F124" i="3"/>
  <c r="H124" i="3"/>
  <c r="I124" i="3"/>
  <c r="J124" i="3"/>
  <c r="B120" i="3"/>
  <c r="C120" i="3"/>
  <c r="D120" i="3"/>
  <c r="E120" i="3"/>
  <c r="F120" i="3"/>
  <c r="G120" i="3"/>
  <c r="H120" i="3"/>
  <c r="I120" i="3"/>
  <c r="J120" i="3"/>
  <c r="I4" i="10"/>
  <c r="K6" i="10" l="1"/>
  <c r="K3" i="10"/>
  <c r="B16" i="11"/>
  <c r="B16" i="10"/>
  <c r="B125" i="3"/>
  <c r="C125" i="3"/>
  <c r="D125" i="3"/>
  <c r="E125" i="3"/>
  <c r="F125" i="3"/>
  <c r="A125" i="3"/>
  <c r="I3" i="11"/>
  <c r="I6" i="11"/>
  <c r="I5" i="11"/>
  <c r="I2" i="11"/>
  <c r="H2" i="11" s="1"/>
  <c r="H125" i="3" s="1"/>
  <c r="A120" i="3"/>
  <c r="I6" i="10"/>
  <c r="I2" i="10"/>
  <c r="I3" i="10"/>
  <c r="I5" i="10"/>
  <c r="H5" i="10" s="1"/>
  <c r="G2" i="8"/>
  <c r="K2" i="8" s="1"/>
  <c r="L2" i="8" s="1"/>
  <c r="H2" i="8"/>
  <c r="J2" i="8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J3" i="8"/>
  <c r="G4" i="8"/>
  <c r="H4" i="8"/>
  <c r="J4" i="8"/>
  <c r="M4" i="8"/>
  <c r="G5" i="8"/>
  <c r="H5" i="8"/>
  <c r="J5" i="8"/>
  <c r="K5" i="8"/>
  <c r="L5" i="8"/>
  <c r="J6" i="8"/>
  <c r="J7" i="8"/>
  <c r="J8" i="8"/>
  <c r="G9" i="8"/>
  <c r="H9" i="8"/>
  <c r="J9" i="8"/>
  <c r="G10" i="8"/>
  <c r="H10" i="8"/>
  <c r="J10" i="8"/>
  <c r="J11" i="8"/>
  <c r="G12" i="8"/>
  <c r="K12" i="8" s="1"/>
  <c r="L12" i="8" s="1"/>
  <c r="H12" i="8"/>
  <c r="J12" i="8"/>
  <c r="G13" i="8"/>
  <c r="H13" i="8"/>
  <c r="K13" i="8" s="1"/>
  <c r="L13" i="8" s="1"/>
  <c r="J13" i="8"/>
  <c r="G14" i="8"/>
  <c r="H14" i="8"/>
  <c r="J14" i="8"/>
  <c r="G15" i="8"/>
  <c r="H15" i="8"/>
  <c r="J15" i="8"/>
  <c r="G16" i="8"/>
  <c r="H16" i="8"/>
  <c r="J16" i="8"/>
  <c r="G17" i="8"/>
  <c r="H17" i="8"/>
  <c r="K17" i="8" s="1"/>
  <c r="L17" i="8" s="1"/>
  <c r="J17" i="8"/>
  <c r="G18" i="8"/>
  <c r="H18" i="8"/>
  <c r="J18" i="8"/>
  <c r="J19" i="8"/>
  <c r="G20" i="8"/>
  <c r="H20" i="8"/>
  <c r="J20" i="8"/>
  <c r="G21" i="8"/>
  <c r="H21" i="8"/>
  <c r="J21" i="8"/>
  <c r="G22" i="8"/>
  <c r="H22" i="8"/>
  <c r="J22" i="8"/>
  <c r="G23" i="8"/>
  <c r="H23" i="8"/>
  <c r="K23" i="8" s="1"/>
  <c r="L23" i="8" s="1"/>
  <c r="J23" i="8"/>
  <c r="G24" i="8"/>
  <c r="H24" i="8"/>
  <c r="J24" i="8"/>
  <c r="G25" i="8"/>
  <c r="H25" i="8"/>
  <c r="K25" i="8" s="1"/>
  <c r="L25" i="8" s="1"/>
  <c r="J25" i="8"/>
  <c r="G26" i="8"/>
  <c r="H26" i="8"/>
  <c r="J26" i="8"/>
  <c r="K26" i="8"/>
  <c r="L26" i="8" s="1"/>
  <c r="G27" i="8"/>
  <c r="H27" i="8"/>
  <c r="J27" i="8"/>
  <c r="K27" i="8"/>
  <c r="L27" i="8" s="1"/>
  <c r="G28" i="8"/>
  <c r="K28" i="8" s="1"/>
  <c r="L28" i="8" s="1"/>
  <c r="H28" i="8"/>
  <c r="J28" i="8"/>
  <c r="G29" i="8"/>
  <c r="H29" i="8"/>
  <c r="K29" i="8" s="1"/>
  <c r="L29" i="8" s="1"/>
  <c r="J29" i="8"/>
  <c r="G30" i="8"/>
  <c r="H30" i="8"/>
  <c r="K30" i="8" s="1"/>
  <c r="L30" i="8" s="1"/>
  <c r="J30" i="8"/>
  <c r="G31" i="8"/>
  <c r="H31" i="8"/>
  <c r="J31" i="8"/>
  <c r="G32" i="8"/>
  <c r="H32" i="8"/>
  <c r="J32" i="8"/>
  <c r="G33" i="8"/>
  <c r="H33" i="8"/>
  <c r="K33" i="8" s="1"/>
  <c r="L33" i="8" s="1"/>
  <c r="J33" i="8"/>
  <c r="G34" i="8"/>
  <c r="H34" i="8"/>
  <c r="J34" i="8"/>
  <c r="K34" i="8"/>
  <c r="L34" i="8" s="1"/>
  <c r="G35" i="8"/>
  <c r="H35" i="8"/>
  <c r="J35" i="8"/>
  <c r="K35" i="8"/>
  <c r="L35" i="8" s="1"/>
  <c r="G36" i="8"/>
  <c r="K36" i="8" s="1"/>
  <c r="L36" i="8" s="1"/>
  <c r="H36" i="8"/>
  <c r="J36" i="8"/>
  <c r="J37" i="8"/>
  <c r="G38" i="8"/>
  <c r="H38" i="8"/>
  <c r="J38" i="8"/>
  <c r="G39" i="8"/>
  <c r="H39" i="8"/>
  <c r="K39" i="8" s="1"/>
  <c r="L39" i="8" s="1"/>
  <c r="J39" i="8"/>
  <c r="G40" i="8"/>
  <c r="H40" i="8"/>
  <c r="J40" i="8"/>
  <c r="K40" i="8"/>
  <c r="L40" i="8" s="1"/>
  <c r="G41" i="8"/>
  <c r="K41" i="8" s="1"/>
  <c r="L41" i="8" s="1"/>
  <c r="H41" i="8"/>
  <c r="J41" i="8"/>
  <c r="G42" i="8"/>
  <c r="K42" i="8" s="1"/>
  <c r="L42" i="8" s="1"/>
  <c r="H42" i="8"/>
  <c r="J42" i="8"/>
  <c r="G43" i="8"/>
  <c r="H43" i="8"/>
  <c r="K43" i="8" s="1"/>
  <c r="L43" i="8" s="1"/>
  <c r="J43" i="8"/>
  <c r="G44" i="8"/>
  <c r="H44" i="8"/>
  <c r="K44" i="8" s="1"/>
  <c r="L44" i="8" s="1"/>
  <c r="J44" i="8"/>
  <c r="G45" i="8"/>
  <c r="H45" i="8"/>
  <c r="J45" i="8"/>
  <c r="G46" i="8"/>
  <c r="H46" i="8"/>
  <c r="J46" i="8"/>
  <c r="G47" i="8"/>
  <c r="H47" i="8"/>
  <c r="K47" i="8" s="1"/>
  <c r="L47" i="8" s="1"/>
  <c r="J47" i="8"/>
  <c r="G48" i="8"/>
  <c r="K48" i="8" s="1"/>
  <c r="L48" i="8" s="1"/>
  <c r="H48" i="8"/>
  <c r="J48" i="8"/>
  <c r="G49" i="8"/>
  <c r="H49" i="8"/>
  <c r="J49" i="8"/>
  <c r="K49" i="8"/>
  <c r="L49" i="8" s="1"/>
  <c r="G50" i="8"/>
  <c r="K50" i="8" s="1"/>
  <c r="L50" i="8" s="1"/>
  <c r="H50" i="8"/>
  <c r="J50" i="8"/>
  <c r="G51" i="8"/>
  <c r="H51" i="8"/>
  <c r="K51" i="8" s="1"/>
  <c r="L51" i="8" s="1"/>
  <c r="J51" i="8"/>
  <c r="G52" i="8"/>
  <c r="H52" i="8"/>
  <c r="J52" i="8"/>
  <c r="G53" i="8"/>
  <c r="H53" i="8"/>
  <c r="J53" i="8"/>
  <c r="G54" i="8"/>
  <c r="H54" i="8"/>
  <c r="K54" i="8" s="1"/>
  <c r="L54" i="8" s="1"/>
  <c r="J54" i="8"/>
  <c r="J55" i="8"/>
  <c r="G56" i="8"/>
  <c r="K56" i="8" s="1"/>
  <c r="L56" i="8" s="1"/>
  <c r="H56" i="8"/>
  <c r="J56" i="8"/>
  <c r="G57" i="8"/>
  <c r="H57" i="8"/>
  <c r="K57" i="8" s="1"/>
  <c r="L57" i="8" s="1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G73" i="8"/>
  <c r="H73" i="8"/>
  <c r="J73" i="8"/>
  <c r="K73" i="8"/>
  <c r="L73" i="8" s="1"/>
  <c r="G74" i="8"/>
  <c r="H74" i="8"/>
  <c r="J74" i="8"/>
  <c r="G75" i="8"/>
  <c r="H75" i="8"/>
  <c r="K75" i="8" s="1"/>
  <c r="L75" i="8" s="1"/>
  <c r="J75" i="8"/>
  <c r="G76" i="8"/>
  <c r="H76" i="8"/>
  <c r="J76" i="8"/>
  <c r="G77" i="8"/>
  <c r="H77" i="8"/>
  <c r="K77" i="8" s="1"/>
  <c r="L77" i="8" s="1"/>
  <c r="J77" i="8"/>
  <c r="G78" i="8"/>
  <c r="H78" i="8"/>
  <c r="J78" i="8"/>
  <c r="G79" i="8"/>
  <c r="H79" i="8"/>
  <c r="J79" i="8"/>
  <c r="G80" i="8"/>
  <c r="H80" i="8"/>
  <c r="K80" i="8" s="1"/>
  <c r="L80" i="8" s="1"/>
  <c r="J80" i="8"/>
  <c r="G81" i="8"/>
  <c r="K81" i="8" s="1"/>
  <c r="L81" i="8" s="1"/>
  <c r="H81" i="8"/>
  <c r="J81" i="8"/>
  <c r="G82" i="8"/>
  <c r="H82" i="8"/>
  <c r="J82" i="8"/>
  <c r="G83" i="8"/>
  <c r="H83" i="8"/>
  <c r="J83" i="8"/>
  <c r="G84" i="8"/>
  <c r="H84" i="8"/>
  <c r="K84" i="8" s="1"/>
  <c r="L84" i="8" s="1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I120" i="8"/>
  <c r="J120" i="8" s="1"/>
  <c r="H120" i="8"/>
  <c r="I125" i="1"/>
  <c r="G125" i="1" s="1"/>
  <c r="G122" i="1"/>
  <c r="G126" i="1"/>
  <c r="G127" i="1"/>
  <c r="G121" i="1"/>
  <c r="J3" i="1"/>
  <c r="J4" i="3"/>
  <c r="J5" i="1"/>
  <c r="J5" i="3" s="1"/>
  <c r="J6" i="1"/>
  <c r="J6" i="3" s="1"/>
  <c r="J7" i="1"/>
  <c r="J7" i="3" s="1"/>
  <c r="J8" i="1"/>
  <c r="J8" i="3" s="1"/>
  <c r="J9" i="1"/>
  <c r="J9" i="3" s="1"/>
  <c r="J10" i="1"/>
  <c r="J11" i="1"/>
  <c r="J13" i="1"/>
  <c r="J14" i="1"/>
  <c r="J15" i="1"/>
  <c r="J16" i="1"/>
  <c r="J16" i="3" s="1"/>
  <c r="J17" i="1"/>
  <c r="J17" i="3" s="1"/>
  <c r="J18" i="1"/>
  <c r="J18" i="3" s="1"/>
  <c r="J19" i="1"/>
  <c r="J20" i="1"/>
  <c r="J21" i="1"/>
  <c r="J21" i="3" s="1"/>
  <c r="J22" i="1"/>
  <c r="J22" i="3" s="1"/>
  <c r="J23" i="1"/>
  <c r="J24" i="1"/>
  <c r="J24" i="3" s="1"/>
  <c r="J25" i="1"/>
  <c r="J25" i="3" s="1"/>
  <c r="J26" i="1"/>
  <c r="J26" i="3" s="1"/>
  <c r="J27" i="1"/>
  <c r="J28" i="1"/>
  <c r="J28" i="3" s="1"/>
  <c r="J29" i="1"/>
  <c r="J30" i="1"/>
  <c r="J31" i="1"/>
  <c r="J31" i="3" s="1"/>
  <c r="J32" i="1"/>
  <c r="J33" i="1"/>
  <c r="J34" i="1"/>
  <c r="J35" i="1"/>
  <c r="J35" i="3" s="1"/>
  <c r="J36" i="1"/>
  <c r="J36" i="3" s="1"/>
  <c r="J37" i="1"/>
  <c r="J38" i="1"/>
  <c r="J38" i="3" s="1"/>
  <c r="J39" i="1"/>
  <c r="J40" i="1"/>
  <c r="J40" i="3" s="1"/>
  <c r="J41" i="1"/>
  <c r="J42" i="1"/>
  <c r="J42" i="3" s="1"/>
  <c r="J43" i="1"/>
  <c r="J44" i="1"/>
  <c r="J44" i="3" s="1"/>
  <c r="J45" i="1"/>
  <c r="J46" i="1"/>
  <c r="J47" i="1"/>
  <c r="J48" i="1"/>
  <c r="J48" i="3" s="1"/>
  <c r="J49" i="1"/>
  <c r="J49" i="3" s="1"/>
  <c r="J50" i="1"/>
  <c r="J50" i="3" s="1"/>
  <c r="J51" i="1"/>
  <c r="J52" i="1"/>
  <c r="J53" i="1"/>
  <c r="J53" i="3" s="1"/>
  <c r="J54" i="1"/>
  <c r="J54" i="3" s="1"/>
  <c r="J55" i="1"/>
  <c r="J55" i="3" s="1"/>
  <c r="J56" i="1"/>
  <c r="J56" i="3" s="1"/>
  <c r="J57" i="1"/>
  <c r="J57" i="3" s="1"/>
  <c r="J58" i="1"/>
  <c r="J58" i="3" s="1"/>
  <c r="J59" i="1"/>
  <c r="J59" i="3" s="1"/>
  <c r="J60" i="1"/>
  <c r="J60" i="3" s="1"/>
  <c r="J61" i="1"/>
  <c r="J61" i="3" s="1"/>
  <c r="J62" i="1"/>
  <c r="J62" i="3" s="1"/>
  <c r="J63" i="1"/>
  <c r="J64" i="1"/>
  <c r="J64" i="3" s="1"/>
  <c r="J65" i="1"/>
  <c r="J65" i="3" s="1"/>
  <c r="J66" i="1"/>
  <c r="J67" i="1"/>
  <c r="J68" i="1"/>
  <c r="J69" i="1"/>
  <c r="J70" i="1"/>
  <c r="J70" i="3" s="1"/>
  <c r="J71" i="1"/>
  <c r="J71" i="3" s="1"/>
  <c r="J72" i="1"/>
  <c r="J73" i="1"/>
  <c r="J74" i="1"/>
  <c r="J74" i="3" s="1"/>
  <c r="J75" i="1"/>
  <c r="J75" i="3" s="1"/>
  <c r="J76" i="1"/>
  <c r="J76" i="3" s="1"/>
  <c r="J77" i="1"/>
  <c r="J77" i="3" s="1"/>
  <c r="J78" i="1"/>
  <c r="J78" i="3" s="1"/>
  <c r="J79" i="1"/>
  <c r="J79" i="3" s="1"/>
  <c r="J80" i="1"/>
  <c r="J80" i="3" s="1"/>
  <c r="J81" i="1"/>
  <c r="J81" i="3" s="1"/>
  <c r="J82" i="1"/>
  <c r="J82" i="3" s="1"/>
  <c r="J83" i="1"/>
  <c r="J84" i="1"/>
  <c r="J85" i="1"/>
  <c r="J85" i="3" s="1"/>
  <c r="J86" i="1"/>
  <c r="J86" i="3" s="1"/>
  <c r="J87" i="1"/>
  <c r="J88" i="1"/>
  <c r="J89" i="1"/>
  <c r="J90" i="1"/>
  <c r="J90" i="3" s="1"/>
  <c r="J91" i="1"/>
  <c r="J91" i="3" s="1"/>
  <c r="J92" i="1"/>
  <c r="J92" i="3" s="1"/>
  <c r="J93" i="1"/>
  <c r="J93" i="3" s="1"/>
  <c r="J94" i="1"/>
  <c r="J94" i="3" s="1"/>
  <c r="J95" i="1"/>
  <c r="J95" i="3" s="1"/>
  <c r="J96" i="1"/>
  <c r="J96" i="3" s="1"/>
  <c r="J97" i="1"/>
  <c r="J97" i="3" s="1"/>
  <c r="J98" i="1"/>
  <c r="J98" i="3" s="1"/>
  <c r="J99" i="1"/>
  <c r="J100" i="1"/>
  <c r="J100" i="3" s="1"/>
  <c r="J101" i="1"/>
  <c r="J102" i="1"/>
  <c r="J102" i="3" s="1"/>
  <c r="J103" i="1"/>
  <c r="J103" i="3" s="1"/>
  <c r="J104" i="1"/>
  <c r="J105" i="1"/>
  <c r="J105" i="3" s="1"/>
  <c r="J106" i="1"/>
  <c r="J106" i="3" s="1"/>
  <c r="J107" i="1"/>
  <c r="J107" i="3" s="1"/>
  <c r="J108" i="1"/>
  <c r="J108" i="3" s="1"/>
  <c r="J109" i="1"/>
  <c r="J110" i="1"/>
  <c r="J110" i="3" s="1"/>
  <c r="J111" i="1"/>
  <c r="J111" i="3" s="1"/>
  <c r="J112" i="1"/>
  <c r="J113" i="1"/>
  <c r="J113" i="3" s="1"/>
  <c r="J114" i="1"/>
  <c r="J115" i="1"/>
  <c r="J116" i="1"/>
  <c r="J117" i="1"/>
  <c r="J117" i="3" s="1"/>
  <c r="J118" i="1"/>
  <c r="J118" i="3" s="1"/>
  <c r="J119" i="1"/>
  <c r="J119" i="3" s="1"/>
  <c r="J2" i="1"/>
  <c r="J2" i="3" s="1"/>
  <c r="J10" i="3"/>
  <c r="J12" i="3"/>
  <c r="J19" i="3"/>
  <c r="J20" i="3"/>
  <c r="J52" i="3"/>
  <c r="J68" i="3"/>
  <c r="J84" i="3"/>
  <c r="J116" i="3"/>
  <c r="I124" i="1"/>
  <c r="J124" i="1" s="1"/>
  <c r="I123" i="1"/>
  <c r="J123" i="1" s="1"/>
  <c r="I122" i="1"/>
  <c r="I121" i="1"/>
  <c r="H121" i="1" s="1"/>
  <c r="G2" i="1"/>
  <c r="G130" i="1"/>
  <c r="G129" i="1"/>
  <c r="D127" i="1"/>
  <c r="D126" i="1"/>
  <c r="H2" i="1"/>
  <c r="H2" i="3" s="1"/>
  <c r="H4" i="1"/>
  <c r="H4" i="3" s="1"/>
  <c r="B3" i="2"/>
  <c r="H120" i="1"/>
  <c r="I120" i="1"/>
  <c r="J11" i="3"/>
  <c r="J14" i="3"/>
  <c r="J15" i="3"/>
  <c r="J23" i="3"/>
  <c r="J27" i="3"/>
  <c r="J30" i="3"/>
  <c r="J39" i="3"/>
  <c r="J43" i="3"/>
  <c r="J46" i="3"/>
  <c r="J47" i="3"/>
  <c r="J63" i="3"/>
  <c r="J87" i="3"/>
  <c r="G5" i="1"/>
  <c r="G5" i="3" s="1"/>
  <c r="G9" i="1"/>
  <c r="G9" i="3" s="1"/>
  <c r="G10" i="1"/>
  <c r="G10" i="3" s="1"/>
  <c r="G12" i="1"/>
  <c r="G12" i="3" s="1"/>
  <c r="G13" i="1"/>
  <c r="G13" i="3" s="1"/>
  <c r="G14" i="1"/>
  <c r="G14" i="3" s="1"/>
  <c r="G15" i="1"/>
  <c r="G15" i="3" s="1"/>
  <c r="G16" i="1"/>
  <c r="G17" i="1"/>
  <c r="G17" i="3" s="1"/>
  <c r="G18" i="1"/>
  <c r="G18" i="3" s="1"/>
  <c r="G20" i="1"/>
  <c r="G20" i="3" s="1"/>
  <c r="G21" i="1"/>
  <c r="G21" i="3" s="1"/>
  <c r="G22" i="1"/>
  <c r="G22" i="3" s="1"/>
  <c r="G23" i="1"/>
  <c r="G23" i="3" s="1"/>
  <c r="G24" i="1"/>
  <c r="G24" i="3" s="1"/>
  <c r="G25" i="1"/>
  <c r="G25" i="3" s="1"/>
  <c r="G26" i="1"/>
  <c r="G26" i="3" s="1"/>
  <c r="G27" i="1"/>
  <c r="G27" i="3" s="1"/>
  <c r="G28" i="1"/>
  <c r="G28" i="3" s="1"/>
  <c r="G29" i="1"/>
  <c r="G29" i="3" s="1"/>
  <c r="G30" i="1"/>
  <c r="G30" i="3" s="1"/>
  <c r="G31" i="1"/>
  <c r="G31" i="3" s="1"/>
  <c r="G32" i="1"/>
  <c r="G32" i="3" s="1"/>
  <c r="G33" i="1"/>
  <c r="G33" i="3" s="1"/>
  <c r="G34" i="1"/>
  <c r="G34" i="3" s="1"/>
  <c r="G35" i="1"/>
  <c r="G35" i="3" s="1"/>
  <c r="G36" i="1"/>
  <c r="G36" i="3" s="1"/>
  <c r="G38" i="1"/>
  <c r="G38" i="3" s="1"/>
  <c r="G39" i="1"/>
  <c r="G39" i="3" s="1"/>
  <c r="G40" i="1"/>
  <c r="G40" i="3" s="1"/>
  <c r="G41" i="1"/>
  <c r="G41" i="3" s="1"/>
  <c r="G42" i="1"/>
  <c r="G42" i="3" s="1"/>
  <c r="G43" i="1"/>
  <c r="G43" i="3" s="1"/>
  <c r="G44" i="1"/>
  <c r="G44" i="3" s="1"/>
  <c r="G45" i="1"/>
  <c r="G45" i="3" s="1"/>
  <c r="G46" i="1"/>
  <c r="G46" i="3" s="1"/>
  <c r="G47" i="1"/>
  <c r="G47" i="3" s="1"/>
  <c r="G48" i="1"/>
  <c r="G48" i="3" s="1"/>
  <c r="G49" i="1"/>
  <c r="G49" i="3" s="1"/>
  <c r="G50" i="1"/>
  <c r="G50" i="3" s="1"/>
  <c r="G51" i="1"/>
  <c r="G51" i="3" s="1"/>
  <c r="G52" i="1"/>
  <c r="G52" i="3" s="1"/>
  <c r="G53" i="1"/>
  <c r="G53" i="3" s="1"/>
  <c r="G54" i="1"/>
  <c r="G54" i="3" s="1"/>
  <c r="G56" i="1"/>
  <c r="G56" i="3" s="1"/>
  <c r="G57" i="1"/>
  <c r="G57" i="3" s="1"/>
  <c r="G62" i="3"/>
  <c r="G63" i="3"/>
  <c r="G73" i="1"/>
  <c r="G73" i="3" s="1"/>
  <c r="G74" i="1"/>
  <c r="G74" i="3" s="1"/>
  <c r="G75" i="1"/>
  <c r="G75" i="3" s="1"/>
  <c r="G76" i="1"/>
  <c r="G76" i="3" s="1"/>
  <c r="G77" i="1"/>
  <c r="G77" i="3" s="1"/>
  <c r="G78" i="1"/>
  <c r="G78" i="3" s="1"/>
  <c r="G79" i="1"/>
  <c r="G79" i="3" s="1"/>
  <c r="G80" i="1"/>
  <c r="G80" i="3" s="1"/>
  <c r="G81" i="1"/>
  <c r="G81" i="3" s="1"/>
  <c r="G82" i="1"/>
  <c r="G82" i="3" s="1"/>
  <c r="G83" i="1"/>
  <c r="G83" i="3" s="1"/>
  <c r="G84" i="1"/>
  <c r="G84" i="3" s="1"/>
  <c r="G87" i="3"/>
  <c r="G99" i="3"/>
  <c r="G4" i="1"/>
  <c r="G4" i="3" s="1"/>
  <c r="G3" i="3"/>
  <c r="G6" i="3"/>
  <c r="G7" i="3"/>
  <c r="G8" i="3"/>
  <c r="G11" i="3"/>
  <c r="G19" i="3"/>
  <c r="G37" i="3"/>
  <c r="G55" i="3"/>
  <c r="G58" i="3"/>
  <c r="G59" i="3"/>
  <c r="G60" i="3"/>
  <c r="G61" i="3"/>
  <c r="G64" i="3"/>
  <c r="G65" i="3"/>
  <c r="G66" i="3"/>
  <c r="G67" i="3"/>
  <c r="G68" i="3"/>
  <c r="G69" i="3"/>
  <c r="G70" i="3"/>
  <c r="G71" i="3"/>
  <c r="G72" i="3"/>
  <c r="G85" i="3"/>
  <c r="G86" i="3"/>
  <c r="G88" i="3"/>
  <c r="G89" i="3"/>
  <c r="G90" i="3"/>
  <c r="G91" i="3"/>
  <c r="G92" i="3"/>
  <c r="G93" i="3"/>
  <c r="G94" i="3"/>
  <c r="G95" i="3"/>
  <c r="G96" i="3"/>
  <c r="G97" i="3"/>
  <c r="G98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B3" i="3"/>
  <c r="C3" i="3"/>
  <c r="D3" i="3"/>
  <c r="E3" i="3"/>
  <c r="H3" i="3"/>
  <c r="I3" i="3"/>
  <c r="B4" i="3"/>
  <c r="C4" i="3"/>
  <c r="D4" i="3"/>
  <c r="E4" i="3"/>
  <c r="I4" i="3"/>
  <c r="B5" i="3"/>
  <c r="C5" i="3"/>
  <c r="D5" i="3"/>
  <c r="E5" i="3"/>
  <c r="I5" i="3"/>
  <c r="B6" i="3"/>
  <c r="C6" i="3"/>
  <c r="D6" i="3"/>
  <c r="E6" i="3"/>
  <c r="H6" i="3"/>
  <c r="I6" i="3"/>
  <c r="B7" i="3"/>
  <c r="C7" i="3"/>
  <c r="D7" i="3"/>
  <c r="E7" i="3"/>
  <c r="H7" i="3"/>
  <c r="I7" i="3"/>
  <c r="B8" i="3"/>
  <c r="C8" i="3"/>
  <c r="D8" i="3"/>
  <c r="E8" i="3"/>
  <c r="H8" i="3"/>
  <c r="I8" i="3"/>
  <c r="B9" i="3"/>
  <c r="C9" i="3"/>
  <c r="D9" i="3"/>
  <c r="E9" i="3"/>
  <c r="I9" i="3"/>
  <c r="B10" i="3"/>
  <c r="C10" i="3"/>
  <c r="D10" i="3"/>
  <c r="E10" i="3"/>
  <c r="I10" i="3"/>
  <c r="B11" i="3"/>
  <c r="C11" i="3"/>
  <c r="D11" i="3"/>
  <c r="E11" i="3"/>
  <c r="H11" i="3"/>
  <c r="I11" i="3"/>
  <c r="B12" i="3"/>
  <c r="C12" i="3"/>
  <c r="D12" i="3"/>
  <c r="E12" i="3"/>
  <c r="I12" i="3"/>
  <c r="B13" i="3"/>
  <c r="C13" i="3"/>
  <c r="D13" i="3"/>
  <c r="E13" i="3"/>
  <c r="I13" i="3"/>
  <c r="B14" i="3"/>
  <c r="C14" i="3"/>
  <c r="D14" i="3"/>
  <c r="E14" i="3"/>
  <c r="I14" i="3"/>
  <c r="B15" i="3"/>
  <c r="C15" i="3"/>
  <c r="D15" i="3"/>
  <c r="E15" i="3"/>
  <c r="I15" i="3"/>
  <c r="B16" i="3"/>
  <c r="C16" i="3"/>
  <c r="D16" i="3"/>
  <c r="E16" i="3"/>
  <c r="I16" i="3"/>
  <c r="B17" i="3"/>
  <c r="C17" i="3"/>
  <c r="D17" i="3"/>
  <c r="E17" i="3"/>
  <c r="I17" i="3"/>
  <c r="B18" i="3"/>
  <c r="C18" i="3"/>
  <c r="D18" i="3"/>
  <c r="E18" i="3"/>
  <c r="I18" i="3"/>
  <c r="B19" i="3"/>
  <c r="C19" i="3"/>
  <c r="D19" i="3"/>
  <c r="E19" i="3"/>
  <c r="H19" i="3"/>
  <c r="I19" i="3"/>
  <c r="B20" i="3"/>
  <c r="C20" i="3"/>
  <c r="D20" i="3"/>
  <c r="E20" i="3"/>
  <c r="I20" i="3"/>
  <c r="B21" i="3"/>
  <c r="C21" i="3"/>
  <c r="D21" i="3"/>
  <c r="E21" i="3"/>
  <c r="I21" i="3"/>
  <c r="B22" i="3"/>
  <c r="C22" i="3"/>
  <c r="D22" i="3"/>
  <c r="E22" i="3"/>
  <c r="I22" i="3"/>
  <c r="B23" i="3"/>
  <c r="C23" i="3"/>
  <c r="D23" i="3"/>
  <c r="E23" i="3"/>
  <c r="I23" i="3"/>
  <c r="B24" i="3"/>
  <c r="C24" i="3"/>
  <c r="D24" i="3"/>
  <c r="E24" i="3"/>
  <c r="I24" i="3"/>
  <c r="B25" i="3"/>
  <c r="C25" i="3"/>
  <c r="D25" i="3"/>
  <c r="E25" i="3"/>
  <c r="I25" i="3"/>
  <c r="B26" i="3"/>
  <c r="C26" i="3"/>
  <c r="D26" i="3"/>
  <c r="E26" i="3"/>
  <c r="I26" i="3"/>
  <c r="B27" i="3"/>
  <c r="C27" i="3"/>
  <c r="D27" i="3"/>
  <c r="E27" i="3"/>
  <c r="I27" i="3"/>
  <c r="B28" i="3"/>
  <c r="C28" i="3"/>
  <c r="D28" i="3"/>
  <c r="E28" i="3"/>
  <c r="I28" i="3"/>
  <c r="B29" i="3"/>
  <c r="C29" i="3"/>
  <c r="D29" i="3"/>
  <c r="E29" i="3"/>
  <c r="I29" i="3"/>
  <c r="B30" i="3"/>
  <c r="C30" i="3"/>
  <c r="D30" i="3"/>
  <c r="E30" i="3"/>
  <c r="I30" i="3"/>
  <c r="B31" i="3"/>
  <c r="C31" i="3"/>
  <c r="D31" i="3"/>
  <c r="E31" i="3"/>
  <c r="I31" i="3"/>
  <c r="B32" i="3"/>
  <c r="C32" i="3"/>
  <c r="D32" i="3"/>
  <c r="E32" i="3"/>
  <c r="I32" i="3"/>
  <c r="B33" i="3"/>
  <c r="C33" i="3"/>
  <c r="D33" i="3"/>
  <c r="E33" i="3"/>
  <c r="I33" i="3"/>
  <c r="B34" i="3"/>
  <c r="C34" i="3"/>
  <c r="D34" i="3"/>
  <c r="E34" i="3"/>
  <c r="I34" i="3"/>
  <c r="B35" i="3"/>
  <c r="C35" i="3"/>
  <c r="D35" i="3"/>
  <c r="E35" i="3"/>
  <c r="I35" i="3"/>
  <c r="B36" i="3"/>
  <c r="C36" i="3"/>
  <c r="D36" i="3"/>
  <c r="E36" i="3"/>
  <c r="I36" i="3"/>
  <c r="B37" i="3"/>
  <c r="C37" i="3"/>
  <c r="D37" i="3"/>
  <c r="E37" i="3"/>
  <c r="H37" i="3"/>
  <c r="I37" i="3"/>
  <c r="B38" i="3"/>
  <c r="C38" i="3"/>
  <c r="D38" i="3"/>
  <c r="E38" i="3"/>
  <c r="I38" i="3"/>
  <c r="B39" i="3"/>
  <c r="C39" i="3"/>
  <c r="D39" i="3"/>
  <c r="E39" i="3"/>
  <c r="I39" i="3"/>
  <c r="B40" i="3"/>
  <c r="C40" i="3"/>
  <c r="D40" i="3"/>
  <c r="E40" i="3"/>
  <c r="I40" i="3"/>
  <c r="B41" i="3"/>
  <c r="C41" i="3"/>
  <c r="D41" i="3"/>
  <c r="E41" i="3"/>
  <c r="I41" i="3"/>
  <c r="B42" i="3"/>
  <c r="C42" i="3"/>
  <c r="D42" i="3"/>
  <c r="E42" i="3"/>
  <c r="I42" i="3"/>
  <c r="B43" i="3"/>
  <c r="C43" i="3"/>
  <c r="D43" i="3"/>
  <c r="E43" i="3"/>
  <c r="I43" i="3"/>
  <c r="B44" i="3"/>
  <c r="C44" i="3"/>
  <c r="D44" i="3"/>
  <c r="E44" i="3"/>
  <c r="I44" i="3"/>
  <c r="B45" i="3"/>
  <c r="C45" i="3"/>
  <c r="D45" i="3"/>
  <c r="E45" i="3"/>
  <c r="I45" i="3"/>
  <c r="B46" i="3"/>
  <c r="C46" i="3"/>
  <c r="D46" i="3"/>
  <c r="E46" i="3"/>
  <c r="I46" i="3"/>
  <c r="B47" i="3"/>
  <c r="C47" i="3"/>
  <c r="D47" i="3"/>
  <c r="E47" i="3"/>
  <c r="I47" i="3"/>
  <c r="B48" i="3"/>
  <c r="C48" i="3"/>
  <c r="D48" i="3"/>
  <c r="E48" i="3"/>
  <c r="I48" i="3"/>
  <c r="B49" i="3"/>
  <c r="C49" i="3"/>
  <c r="D49" i="3"/>
  <c r="E49" i="3"/>
  <c r="I49" i="3"/>
  <c r="B50" i="3"/>
  <c r="C50" i="3"/>
  <c r="D50" i="3"/>
  <c r="E50" i="3"/>
  <c r="I50" i="3"/>
  <c r="B51" i="3"/>
  <c r="C51" i="3"/>
  <c r="D51" i="3"/>
  <c r="E51" i="3"/>
  <c r="I51" i="3"/>
  <c r="B52" i="3"/>
  <c r="C52" i="3"/>
  <c r="D52" i="3"/>
  <c r="E52" i="3"/>
  <c r="I52" i="3"/>
  <c r="B53" i="3"/>
  <c r="C53" i="3"/>
  <c r="D53" i="3"/>
  <c r="E53" i="3"/>
  <c r="I53" i="3"/>
  <c r="B54" i="3"/>
  <c r="C54" i="3"/>
  <c r="D54" i="3"/>
  <c r="E54" i="3"/>
  <c r="I54" i="3"/>
  <c r="B55" i="3"/>
  <c r="C55" i="3"/>
  <c r="D55" i="3"/>
  <c r="E55" i="3"/>
  <c r="H55" i="3"/>
  <c r="I55" i="3"/>
  <c r="B56" i="3"/>
  <c r="C56" i="3"/>
  <c r="D56" i="3"/>
  <c r="E56" i="3"/>
  <c r="I56" i="3"/>
  <c r="B57" i="3"/>
  <c r="C57" i="3"/>
  <c r="D57" i="3"/>
  <c r="E57" i="3"/>
  <c r="I57" i="3"/>
  <c r="B58" i="3"/>
  <c r="C58" i="3"/>
  <c r="D58" i="3"/>
  <c r="E58" i="3"/>
  <c r="H58" i="3"/>
  <c r="I58" i="3"/>
  <c r="B59" i="3"/>
  <c r="C59" i="3"/>
  <c r="D59" i="3"/>
  <c r="E59" i="3"/>
  <c r="H59" i="3"/>
  <c r="I59" i="3"/>
  <c r="B60" i="3"/>
  <c r="C60" i="3"/>
  <c r="D60" i="3"/>
  <c r="E60" i="3"/>
  <c r="H60" i="3"/>
  <c r="I60" i="3"/>
  <c r="B61" i="3"/>
  <c r="C61" i="3"/>
  <c r="D61" i="3"/>
  <c r="E61" i="3"/>
  <c r="H61" i="3"/>
  <c r="I61" i="3"/>
  <c r="B62" i="3"/>
  <c r="C62" i="3"/>
  <c r="D62" i="3"/>
  <c r="E62" i="3"/>
  <c r="H62" i="3"/>
  <c r="I62" i="3"/>
  <c r="B63" i="3"/>
  <c r="C63" i="3"/>
  <c r="D63" i="3"/>
  <c r="E63" i="3"/>
  <c r="H63" i="3"/>
  <c r="I63" i="3"/>
  <c r="B64" i="3"/>
  <c r="C64" i="3"/>
  <c r="D64" i="3"/>
  <c r="E64" i="3"/>
  <c r="H64" i="3"/>
  <c r="I64" i="3"/>
  <c r="B65" i="3"/>
  <c r="C65" i="3"/>
  <c r="D65" i="3"/>
  <c r="E65" i="3"/>
  <c r="H65" i="3"/>
  <c r="I65" i="3"/>
  <c r="B66" i="3"/>
  <c r="C66" i="3"/>
  <c r="D66" i="3"/>
  <c r="E66" i="3"/>
  <c r="H66" i="3"/>
  <c r="I66" i="3"/>
  <c r="B67" i="3"/>
  <c r="C67" i="3"/>
  <c r="D67" i="3"/>
  <c r="E67" i="3"/>
  <c r="H67" i="3"/>
  <c r="I67" i="3"/>
  <c r="B68" i="3"/>
  <c r="C68" i="3"/>
  <c r="D68" i="3"/>
  <c r="E68" i="3"/>
  <c r="H68" i="3"/>
  <c r="I68" i="3"/>
  <c r="B69" i="3"/>
  <c r="C69" i="3"/>
  <c r="D69" i="3"/>
  <c r="E69" i="3"/>
  <c r="H69" i="3"/>
  <c r="I69" i="3"/>
  <c r="B70" i="3"/>
  <c r="C70" i="3"/>
  <c r="D70" i="3"/>
  <c r="E70" i="3"/>
  <c r="H70" i="3"/>
  <c r="I70" i="3"/>
  <c r="B71" i="3"/>
  <c r="C71" i="3"/>
  <c r="D71" i="3"/>
  <c r="E71" i="3"/>
  <c r="H71" i="3"/>
  <c r="I71" i="3"/>
  <c r="B72" i="3"/>
  <c r="C72" i="3"/>
  <c r="D72" i="3"/>
  <c r="E72" i="3"/>
  <c r="H72" i="3"/>
  <c r="I72" i="3"/>
  <c r="B73" i="3"/>
  <c r="C73" i="3"/>
  <c r="D73" i="3"/>
  <c r="E73" i="3"/>
  <c r="I73" i="3"/>
  <c r="B74" i="3"/>
  <c r="C74" i="3"/>
  <c r="D74" i="3"/>
  <c r="E74" i="3"/>
  <c r="I74" i="3"/>
  <c r="B75" i="3"/>
  <c r="C75" i="3"/>
  <c r="D75" i="3"/>
  <c r="E75" i="3"/>
  <c r="I75" i="3"/>
  <c r="B76" i="3"/>
  <c r="C76" i="3"/>
  <c r="D76" i="3"/>
  <c r="E76" i="3"/>
  <c r="I76" i="3"/>
  <c r="B77" i="3"/>
  <c r="C77" i="3"/>
  <c r="D77" i="3"/>
  <c r="E77" i="3"/>
  <c r="I77" i="3"/>
  <c r="B78" i="3"/>
  <c r="C78" i="3"/>
  <c r="D78" i="3"/>
  <c r="E78" i="3"/>
  <c r="I78" i="3"/>
  <c r="B79" i="3"/>
  <c r="C79" i="3"/>
  <c r="D79" i="3"/>
  <c r="E79" i="3"/>
  <c r="I79" i="3"/>
  <c r="B80" i="3"/>
  <c r="C80" i="3"/>
  <c r="D80" i="3"/>
  <c r="E80" i="3"/>
  <c r="I80" i="3"/>
  <c r="B81" i="3"/>
  <c r="C81" i="3"/>
  <c r="D81" i="3"/>
  <c r="E81" i="3"/>
  <c r="I81" i="3"/>
  <c r="B82" i="3"/>
  <c r="C82" i="3"/>
  <c r="D82" i="3"/>
  <c r="E82" i="3"/>
  <c r="I82" i="3"/>
  <c r="B83" i="3"/>
  <c r="C83" i="3"/>
  <c r="D83" i="3"/>
  <c r="E83" i="3"/>
  <c r="I83" i="3"/>
  <c r="B84" i="3"/>
  <c r="C84" i="3"/>
  <c r="D84" i="3"/>
  <c r="E84" i="3"/>
  <c r="I84" i="3"/>
  <c r="B85" i="3"/>
  <c r="C85" i="3"/>
  <c r="D85" i="3"/>
  <c r="E85" i="3"/>
  <c r="H85" i="3"/>
  <c r="I85" i="3"/>
  <c r="B86" i="3"/>
  <c r="C86" i="3"/>
  <c r="D86" i="3"/>
  <c r="E86" i="3"/>
  <c r="H86" i="3"/>
  <c r="I86" i="3"/>
  <c r="B87" i="3"/>
  <c r="C87" i="3"/>
  <c r="D87" i="3"/>
  <c r="E87" i="3"/>
  <c r="H87" i="3"/>
  <c r="I87" i="3"/>
  <c r="B88" i="3"/>
  <c r="C88" i="3"/>
  <c r="D88" i="3"/>
  <c r="E88" i="3"/>
  <c r="H88" i="3"/>
  <c r="I88" i="3"/>
  <c r="B89" i="3"/>
  <c r="C89" i="3"/>
  <c r="D89" i="3"/>
  <c r="E89" i="3"/>
  <c r="H89" i="3"/>
  <c r="I89" i="3"/>
  <c r="B90" i="3"/>
  <c r="C90" i="3"/>
  <c r="D90" i="3"/>
  <c r="E90" i="3"/>
  <c r="H90" i="3"/>
  <c r="I90" i="3"/>
  <c r="B91" i="3"/>
  <c r="C91" i="3"/>
  <c r="D91" i="3"/>
  <c r="E91" i="3"/>
  <c r="H91" i="3"/>
  <c r="I91" i="3"/>
  <c r="B92" i="3"/>
  <c r="C92" i="3"/>
  <c r="D92" i="3"/>
  <c r="E92" i="3"/>
  <c r="H92" i="3"/>
  <c r="I92" i="3"/>
  <c r="B93" i="3"/>
  <c r="C93" i="3"/>
  <c r="D93" i="3"/>
  <c r="E93" i="3"/>
  <c r="H93" i="3"/>
  <c r="I93" i="3"/>
  <c r="B94" i="3"/>
  <c r="C94" i="3"/>
  <c r="D94" i="3"/>
  <c r="E94" i="3"/>
  <c r="H94" i="3"/>
  <c r="I94" i="3"/>
  <c r="B95" i="3"/>
  <c r="C95" i="3"/>
  <c r="D95" i="3"/>
  <c r="E95" i="3"/>
  <c r="H95" i="3"/>
  <c r="I95" i="3"/>
  <c r="B96" i="3"/>
  <c r="C96" i="3"/>
  <c r="D96" i="3"/>
  <c r="E96" i="3"/>
  <c r="H96" i="3"/>
  <c r="I96" i="3"/>
  <c r="B97" i="3"/>
  <c r="C97" i="3"/>
  <c r="D97" i="3"/>
  <c r="E97" i="3"/>
  <c r="H97" i="3"/>
  <c r="I97" i="3"/>
  <c r="B98" i="3"/>
  <c r="C98" i="3"/>
  <c r="D98" i="3"/>
  <c r="E98" i="3"/>
  <c r="H98" i="3"/>
  <c r="I98" i="3"/>
  <c r="B99" i="3"/>
  <c r="C99" i="3"/>
  <c r="D99" i="3"/>
  <c r="E99" i="3"/>
  <c r="H99" i="3"/>
  <c r="I99" i="3"/>
  <c r="B100" i="3"/>
  <c r="C100" i="3"/>
  <c r="D100" i="3"/>
  <c r="E100" i="3"/>
  <c r="H100" i="3"/>
  <c r="I100" i="3"/>
  <c r="B101" i="3"/>
  <c r="C101" i="3"/>
  <c r="D101" i="3"/>
  <c r="E101" i="3"/>
  <c r="H101" i="3"/>
  <c r="I101" i="3"/>
  <c r="B102" i="3"/>
  <c r="C102" i="3"/>
  <c r="D102" i="3"/>
  <c r="E102" i="3"/>
  <c r="H102" i="3"/>
  <c r="I102" i="3"/>
  <c r="B103" i="3"/>
  <c r="C103" i="3"/>
  <c r="D103" i="3"/>
  <c r="E103" i="3"/>
  <c r="H103" i="3"/>
  <c r="I103" i="3"/>
  <c r="B104" i="3"/>
  <c r="C104" i="3"/>
  <c r="D104" i="3"/>
  <c r="E104" i="3"/>
  <c r="H104" i="3"/>
  <c r="I104" i="3"/>
  <c r="B105" i="3"/>
  <c r="C105" i="3"/>
  <c r="D105" i="3"/>
  <c r="E105" i="3"/>
  <c r="H105" i="3"/>
  <c r="I105" i="3"/>
  <c r="B106" i="3"/>
  <c r="C106" i="3"/>
  <c r="D106" i="3"/>
  <c r="E106" i="3"/>
  <c r="H106" i="3"/>
  <c r="I106" i="3"/>
  <c r="B107" i="3"/>
  <c r="C107" i="3"/>
  <c r="D107" i="3"/>
  <c r="E107" i="3"/>
  <c r="H107" i="3"/>
  <c r="I107" i="3"/>
  <c r="B108" i="3"/>
  <c r="C108" i="3"/>
  <c r="D108" i="3"/>
  <c r="E108" i="3"/>
  <c r="H108" i="3"/>
  <c r="I108" i="3"/>
  <c r="B109" i="3"/>
  <c r="C109" i="3"/>
  <c r="D109" i="3"/>
  <c r="E109" i="3"/>
  <c r="H109" i="3"/>
  <c r="I109" i="3"/>
  <c r="B110" i="3"/>
  <c r="C110" i="3"/>
  <c r="D110" i="3"/>
  <c r="E110" i="3"/>
  <c r="H110" i="3"/>
  <c r="I110" i="3"/>
  <c r="B111" i="3"/>
  <c r="C111" i="3"/>
  <c r="D111" i="3"/>
  <c r="E111" i="3"/>
  <c r="H111" i="3"/>
  <c r="I111" i="3"/>
  <c r="B112" i="3"/>
  <c r="C112" i="3"/>
  <c r="D112" i="3"/>
  <c r="E112" i="3"/>
  <c r="H112" i="3"/>
  <c r="I112" i="3"/>
  <c r="B113" i="3"/>
  <c r="C113" i="3"/>
  <c r="D113" i="3"/>
  <c r="E113" i="3"/>
  <c r="H113" i="3"/>
  <c r="I113" i="3"/>
  <c r="B114" i="3"/>
  <c r="C114" i="3"/>
  <c r="D114" i="3"/>
  <c r="E114" i="3"/>
  <c r="H114" i="3"/>
  <c r="I114" i="3"/>
  <c r="B115" i="3"/>
  <c r="C115" i="3"/>
  <c r="D115" i="3"/>
  <c r="E115" i="3"/>
  <c r="H115" i="3"/>
  <c r="I115" i="3"/>
  <c r="B116" i="3"/>
  <c r="C116" i="3"/>
  <c r="D116" i="3"/>
  <c r="E116" i="3"/>
  <c r="H116" i="3"/>
  <c r="I116" i="3"/>
  <c r="B117" i="3"/>
  <c r="C117" i="3"/>
  <c r="D117" i="3"/>
  <c r="E117" i="3"/>
  <c r="H117" i="3"/>
  <c r="I117" i="3"/>
  <c r="B118" i="3"/>
  <c r="C118" i="3"/>
  <c r="D118" i="3"/>
  <c r="E118" i="3"/>
  <c r="H118" i="3"/>
  <c r="I118" i="3"/>
  <c r="B119" i="3"/>
  <c r="C119" i="3"/>
  <c r="D119" i="3"/>
  <c r="E119" i="3"/>
  <c r="H119" i="3"/>
  <c r="I119" i="3"/>
  <c r="B2" i="3"/>
  <c r="C2" i="3"/>
  <c r="D2" i="3"/>
  <c r="E2" i="3"/>
  <c r="I2" i="3"/>
  <c r="A2" i="3"/>
  <c r="H5" i="1"/>
  <c r="H5" i="3" s="1"/>
  <c r="H9" i="1"/>
  <c r="H9" i="3" s="1"/>
  <c r="H10" i="1"/>
  <c r="H10" i="3" s="1"/>
  <c r="H12" i="1"/>
  <c r="H12" i="3" s="1"/>
  <c r="H13" i="1"/>
  <c r="H13" i="3" s="1"/>
  <c r="H14" i="1"/>
  <c r="H14" i="3" s="1"/>
  <c r="H15" i="1"/>
  <c r="H15" i="3" s="1"/>
  <c r="H16" i="1"/>
  <c r="H16" i="3" s="1"/>
  <c r="H17" i="1"/>
  <c r="H17" i="3" s="1"/>
  <c r="H18" i="1"/>
  <c r="H18" i="3" s="1"/>
  <c r="H20" i="1"/>
  <c r="H20" i="3" s="1"/>
  <c r="H21" i="1"/>
  <c r="H21" i="3" s="1"/>
  <c r="H22" i="1"/>
  <c r="H22" i="3" s="1"/>
  <c r="H23" i="1"/>
  <c r="H23" i="3" s="1"/>
  <c r="H24" i="1"/>
  <c r="H24" i="3" s="1"/>
  <c r="H25" i="1"/>
  <c r="H25" i="3" s="1"/>
  <c r="H26" i="1"/>
  <c r="H26" i="3" s="1"/>
  <c r="H27" i="1"/>
  <c r="H27" i="3" s="1"/>
  <c r="H28" i="1"/>
  <c r="H28" i="3" s="1"/>
  <c r="H29" i="1"/>
  <c r="H29" i="3" s="1"/>
  <c r="H30" i="1"/>
  <c r="H30" i="3" s="1"/>
  <c r="H31" i="1"/>
  <c r="H31" i="3" s="1"/>
  <c r="H32" i="1"/>
  <c r="H32" i="3" s="1"/>
  <c r="H33" i="1"/>
  <c r="H33" i="3" s="1"/>
  <c r="H34" i="1"/>
  <c r="H34" i="3" s="1"/>
  <c r="H35" i="1"/>
  <c r="H35" i="3" s="1"/>
  <c r="H36" i="1"/>
  <c r="H36" i="3" s="1"/>
  <c r="H38" i="1"/>
  <c r="H38" i="3" s="1"/>
  <c r="H39" i="1"/>
  <c r="H39" i="3" s="1"/>
  <c r="H40" i="1"/>
  <c r="H40" i="3" s="1"/>
  <c r="H41" i="1"/>
  <c r="H41" i="3" s="1"/>
  <c r="H42" i="1"/>
  <c r="H42" i="3" s="1"/>
  <c r="H43" i="1"/>
  <c r="H43" i="3" s="1"/>
  <c r="H44" i="1"/>
  <c r="H44" i="3" s="1"/>
  <c r="H45" i="1"/>
  <c r="H45" i="3" s="1"/>
  <c r="H46" i="1"/>
  <c r="H46" i="3" s="1"/>
  <c r="H47" i="1"/>
  <c r="H47" i="3" s="1"/>
  <c r="H48" i="1"/>
  <c r="H48" i="3" s="1"/>
  <c r="H49" i="1"/>
  <c r="H49" i="3" s="1"/>
  <c r="H50" i="1"/>
  <c r="H50" i="3" s="1"/>
  <c r="H51" i="1"/>
  <c r="H51" i="3" s="1"/>
  <c r="H52" i="1"/>
  <c r="H52" i="3" s="1"/>
  <c r="H53" i="1"/>
  <c r="H53" i="3" s="1"/>
  <c r="H54" i="1"/>
  <c r="H54" i="3" s="1"/>
  <c r="H56" i="1"/>
  <c r="H56" i="3" s="1"/>
  <c r="H57" i="1"/>
  <c r="H57" i="3" s="1"/>
  <c r="H73" i="1"/>
  <c r="H73" i="3" s="1"/>
  <c r="H74" i="1"/>
  <c r="H74" i="3" s="1"/>
  <c r="H75" i="1"/>
  <c r="H75" i="3" s="1"/>
  <c r="H76" i="1"/>
  <c r="H76" i="3" s="1"/>
  <c r="H77" i="1"/>
  <c r="H77" i="3" s="1"/>
  <c r="H78" i="1"/>
  <c r="H78" i="3" s="1"/>
  <c r="H79" i="1"/>
  <c r="H79" i="3" s="1"/>
  <c r="H80" i="1"/>
  <c r="H80" i="3" s="1"/>
  <c r="H81" i="1"/>
  <c r="H81" i="3" s="1"/>
  <c r="H82" i="1"/>
  <c r="H82" i="3" s="1"/>
  <c r="H83" i="1"/>
  <c r="H83" i="3" s="1"/>
  <c r="H84" i="1"/>
  <c r="H84" i="3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19" i="3" s="1"/>
  <c r="G123" i="1" l="1"/>
  <c r="J125" i="1"/>
  <c r="G124" i="1"/>
  <c r="H125" i="1"/>
  <c r="J2" i="10"/>
  <c r="J6" i="11"/>
  <c r="G125" i="3"/>
  <c r="I4" i="11"/>
  <c r="J4" i="11" s="1"/>
  <c r="H3" i="11"/>
  <c r="I125" i="3"/>
  <c r="J2" i="11"/>
  <c r="J5" i="11"/>
  <c r="K31" i="8"/>
  <c r="L31" i="8" s="1"/>
  <c r="K45" i="8"/>
  <c r="L45" i="8" s="1"/>
  <c r="K9" i="8"/>
  <c r="L9" i="8" s="1"/>
  <c r="K78" i="8"/>
  <c r="L78" i="8" s="1"/>
  <c r="K52" i="8"/>
  <c r="L52" i="8" s="1"/>
  <c r="K10" i="8"/>
  <c r="L10" i="8" s="1"/>
  <c r="H2" i="10"/>
  <c r="J3" i="11"/>
  <c r="H5" i="11"/>
  <c r="J5" i="10"/>
  <c r="H6" i="11"/>
  <c r="J6" i="10"/>
  <c r="H6" i="10"/>
  <c r="J3" i="10"/>
  <c r="H3" i="10"/>
  <c r="K76" i="8"/>
  <c r="L76" i="8" s="1"/>
  <c r="K46" i="8"/>
  <c r="L46" i="8" s="1"/>
  <c r="K32" i="8"/>
  <c r="L32" i="8" s="1"/>
  <c r="K22" i="8"/>
  <c r="L22" i="8" s="1"/>
  <c r="K16" i="8"/>
  <c r="L16" i="8" s="1"/>
  <c r="K21" i="8"/>
  <c r="L21" i="8" s="1"/>
  <c r="K15" i="8"/>
  <c r="L15" i="8" s="1"/>
  <c r="K4" i="8"/>
  <c r="L4" i="8" s="1"/>
  <c r="K83" i="8"/>
  <c r="L83" i="8" s="1"/>
  <c r="K79" i="8"/>
  <c r="L79" i="8" s="1"/>
  <c r="K74" i="8"/>
  <c r="L74" i="8" s="1"/>
  <c r="K53" i="8"/>
  <c r="L53" i="8" s="1"/>
  <c r="K20" i="8"/>
  <c r="L20" i="8" s="1"/>
  <c r="K14" i="8"/>
  <c r="L14" i="8" s="1"/>
  <c r="K82" i="8"/>
  <c r="L82" i="8" s="1"/>
  <c r="K38" i="8"/>
  <c r="L38" i="8" s="1"/>
  <c r="K24" i="8"/>
  <c r="L24" i="8" s="1"/>
  <c r="K18" i="8"/>
  <c r="L18" i="8" s="1"/>
  <c r="J122" i="1"/>
  <c r="H123" i="1"/>
  <c r="J121" i="1"/>
  <c r="J120" i="1"/>
  <c r="J69" i="3"/>
  <c r="J101" i="3"/>
  <c r="J66" i="3"/>
  <c r="J112" i="3"/>
  <c r="J37" i="3"/>
  <c r="J34" i="3"/>
  <c r="G16" i="3"/>
  <c r="J104" i="3"/>
  <c r="J99" i="3"/>
  <c r="A96" i="3"/>
  <c r="J72" i="3"/>
  <c r="J67" i="3"/>
  <c r="J115" i="3"/>
  <c r="J114" i="3"/>
  <c r="J88" i="3"/>
  <c r="H126" i="1"/>
  <c r="H127" i="1"/>
  <c r="J73" i="3"/>
  <c r="J33" i="3"/>
  <c r="J32" i="3"/>
  <c r="J51" i="3"/>
  <c r="J3" i="3"/>
  <c r="J89" i="3"/>
  <c r="J109" i="3"/>
  <c r="J29" i="3"/>
  <c r="J83" i="3"/>
  <c r="J45" i="3"/>
  <c r="H124" i="1"/>
  <c r="J41" i="3"/>
  <c r="J13" i="3"/>
  <c r="H122" i="1"/>
  <c r="A84" i="3"/>
  <c r="G2" i="3"/>
  <c r="A36" i="3"/>
  <c r="A60" i="3"/>
  <c r="A48" i="3"/>
  <c r="A115" i="3"/>
  <c r="A12" i="3"/>
  <c r="A24" i="3"/>
  <c r="A103" i="3"/>
  <c r="A108" i="3"/>
  <c r="A13" i="3"/>
  <c r="A72" i="3"/>
  <c r="A91" i="3"/>
  <c r="A79" i="3"/>
  <c r="A67" i="3"/>
  <c r="A55" i="3"/>
  <c r="A43" i="3"/>
  <c r="A31" i="3"/>
  <c r="A19" i="3"/>
  <c r="A7" i="3"/>
  <c r="A77" i="3"/>
  <c r="A53" i="3"/>
  <c r="A41" i="3"/>
  <c r="A29" i="3"/>
  <c r="A17" i="3"/>
  <c r="A5" i="3"/>
  <c r="A113" i="3"/>
  <c r="A89" i="3"/>
  <c r="A65" i="3"/>
  <c r="A118" i="3"/>
  <c r="A106" i="3"/>
  <c r="A94" i="3"/>
  <c r="A82" i="3"/>
  <c r="A70" i="3"/>
  <c r="A58" i="3"/>
  <c r="A46" i="3"/>
  <c r="A34" i="3"/>
  <c r="A22" i="3"/>
  <c r="A10" i="3"/>
  <c r="A3" i="3"/>
  <c r="A101" i="3"/>
  <c r="A111" i="3"/>
  <c r="A99" i="3"/>
  <c r="A87" i="3"/>
  <c r="A75" i="3"/>
  <c r="A63" i="3"/>
  <c r="A51" i="3"/>
  <c r="A39" i="3"/>
  <c r="A27" i="3"/>
  <c r="A15" i="3"/>
  <c r="A116" i="3"/>
  <c r="A104" i="3"/>
  <c r="A92" i="3"/>
  <c r="A80" i="3"/>
  <c r="A68" i="3"/>
  <c r="A56" i="3"/>
  <c r="A44" i="3"/>
  <c r="A32" i="3"/>
  <c r="A20" i="3"/>
  <c r="A8" i="3"/>
  <c r="A109" i="3"/>
  <c r="A25" i="3"/>
  <c r="A114" i="3"/>
  <c r="A102" i="3"/>
  <c r="A90" i="3"/>
  <c r="A78" i="3"/>
  <c r="A66" i="3"/>
  <c r="A54" i="3"/>
  <c r="A42" i="3"/>
  <c r="A30" i="3"/>
  <c r="A18" i="3"/>
  <c r="A6" i="3"/>
  <c r="A61" i="3"/>
  <c r="A107" i="3"/>
  <c r="A95" i="3"/>
  <c r="A83" i="3"/>
  <c r="A71" i="3"/>
  <c r="A59" i="3"/>
  <c r="A47" i="3"/>
  <c r="A35" i="3"/>
  <c r="A23" i="3"/>
  <c r="A11" i="3"/>
  <c r="A4" i="3"/>
  <c r="A97" i="3"/>
  <c r="A49" i="3"/>
  <c r="A112" i="3"/>
  <c r="A100" i="3"/>
  <c r="A88" i="3"/>
  <c r="A76" i="3"/>
  <c r="A64" i="3"/>
  <c r="A52" i="3"/>
  <c r="A40" i="3"/>
  <c r="A28" i="3"/>
  <c r="A16" i="3"/>
  <c r="A85" i="3"/>
  <c r="A117" i="3"/>
  <c r="A105" i="3"/>
  <c r="A93" i="3"/>
  <c r="A81" i="3"/>
  <c r="A69" i="3"/>
  <c r="A57" i="3"/>
  <c r="A45" i="3"/>
  <c r="A33" i="3"/>
  <c r="A21" i="3"/>
  <c r="A9" i="3"/>
  <c r="A73" i="3"/>
  <c r="A37" i="3"/>
  <c r="A110" i="3"/>
  <c r="A98" i="3"/>
  <c r="A86" i="3"/>
  <c r="A74" i="3"/>
  <c r="A62" i="3"/>
  <c r="A50" i="3"/>
  <c r="A38" i="3"/>
  <c r="A26" i="3"/>
  <c r="A14" i="3"/>
  <c r="J125" i="3" l="1"/>
  <c r="H4" i="11"/>
  <c r="J4" i="10" l="1"/>
  <c r="H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tc={0DF83098-2118-4364-9B8E-948A1CE75166}</author>
    <author>tc={8853DFE5-9E7F-4F89-9A03-380239EB1DD0}</author>
    <author>tc={58F516FF-0F1A-4C61-BDD6-ACF8CA6F5F0A}</author>
    <author>tc={9E649FA8-4823-413E-AB64-B1AB80ABA3AA}</author>
    <author>tc={D8EADADC-E028-4F23-9C88-18F78DED6193}</author>
    <author>tc={9BCAFEEB-EEA7-40EE-AEEA-677F5128DF81}</author>
    <author>tc={0D00C241-0F1D-4C5E-9087-91274F11D1A9}</author>
    <author>tc={CAF7B0C8-7401-4F58-AD6F-79B19BDC0E19}</author>
    <author>tc={03DB1019-E7C0-48B1-8540-287EE71770C4}</author>
    <author>tc={6BBA5D04-76D1-487D-8E9A-C66C25AD871C}</author>
    <author>tc={0E88E1C7-5C95-47B0-B5AA-0F6F36C90F3A}</author>
    <author>tc={2C699A97-4814-4456-8B11-A6A505CD4190}</author>
    <author>tc={59DF7679-1773-4736-8549-BAA2DA3C3150}</author>
    <author>tc={4D13592C-AF50-41F8-8F6A-9FECFF721C33}</author>
    <author>tc={D13D13FA-A75C-40FE-B7DF-969580340E44}</author>
    <author>tc={67DFE29E-88CA-4833-963D-E9BC47979445}</author>
    <author>tc={57E71183-93CB-42D4-AD29-6FEB4AC217B5}</author>
  </authors>
  <commentList>
    <comment ref="E1" authorId="0" shapeId="0" xr:uid="{0DF83098-2118-4364-9B8E-948A1CE7516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https://pubchem.ncbi.nlm.nih.gov/ptable/atomic-mass/</t>
      </text>
    </comment>
    <comment ref="F1" authorId="1" shapeId="0" xr:uid="{8853DFE5-9E7F-4F89-9A03-380239EB1DD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https://pressbooks.online.ucf.edu/chemistryfundamentals/chapter/libreaclone-ionic-radii-and-isoelectronic-series/</t>
      </text>
    </comment>
    <comment ref="I1" authorId="2" shapeId="0" xr:uid="{58F516FF-0F1A-4C61-BDD6-ACF8CA6F5F0A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https://pressbooks.online.ucf.edu/chemistryfundamentals/chapter/libreaclone-ionic-radii-and-isoelectronic-series/</t>
      </text>
    </comment>
    <comment ref="J1" authorId="3" shapeId="0" xr:uid="{9E649FA8-4823-413E-AB64-B1AB80ABA3AA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“Ion Motion in Water”</t>
      </text>
    </comment>
    <comment ref="C120" authorId="4" shapeId="0" xr:uid="{D8EADADC-E028-4F23-9C88-18F78DED6193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https://www.thermofisher.com/order/catalog/product/Q10101MP
Assume: CdSe comprises entire Qdot, CdSe is NOT in wurtzite (hexagonal) crystal structure (each atom alternates: CdSeCdSe…), each CdSe pair is a perfect sphere with a radius of each atom’s radius combined, each streptavidin molecule is a perfect sphere (radius: 2nm), 2 streptavidin molecules contribute to total Qdot radius, 5 streptavidin molecules per Qdot (low end of range from website)</t>
      </text>
    </comment>
    <comment ref="F120" authorId="5" shapeId="0" xr:uid="{9BCAFEEB-EEA7-40EE-AEEA-677F5128DF81}">
      <text>
        <t>[Threaded comment]
Your version of Excel allows you to read this threaded comment; however, any edits to it will get removed if the file is opened in a newer version of Excel. Learn more: https://go.microsoft.com/fwlink/?linkid=870924
Comment:
    Arbitrarily chosen (actual charge is likely very low at neutral pH)</t>
      </text>
    </comment>
    <comment ref="H120" authorId="6" shapeId="0" xr:uid="{0D00C241-0F1D-4C5E-9087-91274F11D1A9}">
      <text>
        <t>[Threaded comment]
Your version of Excel allows you to read this threaded comment; however, any edits to it will get removed if the file is opened in a newer version of Excel. Learn more: https://go.microsoft.com/fwlink/?linkid=870924
Comment:
    =(number of streptavidin molecules per Qdot)*(mass of Qdot)+(number of CdSe “spheres” possible in total volume of Qdot sphere)*((Cd mass)+(Se mass))</t>
      </text>
    </comment>
    <comment ref="C121" authorId="7" shapeId="0" xr:uid="{CAF7B0C8-7401-4F58-AD6F-79B19BDC0E1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https://www.thermofisher.com/order/catalog/product/F8888?SID=srch-srp-F8888</t>
      </text>
    </comment>
    <comment ref="G121" authorId="8" shapeId="0" xr:uid="{03DB1019-E7C0-48B1-8540-287EE71770C4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Approximate number of carboxylate groups on a microsphere, derived from the charge equivalence listed on the website (0.1-0.2 milliequivalence/g); each carboxylate group has a charge number of -1</t>
      </text>
    </comment>
    <comment ref="H121" authorId="9" shapeId="0" xr:uid="{6BBA5D04-76D1-487D-8E9A-C66C25AD871C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Approximate mass of polystyrene microsphere using polystyrene density</t>
      </text>
    </comment>
    <comment ref="I121" authorId="10" shapeId="0" xr:uid="{0E88E1C7-5C95-47B0-B5AA-0F6F36C90F3A}">
      <text>
        <t>[Threaded comment]
Your version of Excel allows you to read this threaded comment; however, any edits to it will get removed if the file is opened in a newer version of Excel. Learn more: https://go.microsoft.com/fwlink/?linkid=870924
Comment:
    Sizes listed on linked website</t>
      </text>
    </comment>
    <comment ref="G129" authorId="11" shapeId="0" xr:uid="{2C699A97-4814-4456-8B11-A6A505CD419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https://pubs.acs.org/doi/10.1021/acs.analchem.0c03653; -80 mC/m^2 low end</t>
      </text>
    </comment>
    <comment ref="G130" authorId="12" shapeId="0" xr:uid="{59DF7679-1773-4736-8549-BAA2DA3C315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https://pubs.acs.org/doi/10.1021/acs.analchem.0c03653; -80 mC/m^2 low end</t>
      </text>
    </comment>
    <comment ref="E132" authorId="13" shapeId="0" xr:uid="{4D13592C-AF50-41F8-8F6A-9FECFF721C33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https://pubchem.ncbi.nlm.nih.gov/ptable/atomic-mass/</t>
      </text>
    </comment>
    <comment ref="F132" authorId="14" shapeId="0" xr:uid="{D13D13FA-A75C-40FE-B7DF-969580340E44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https://pressbooks.online.ucf.edu/chemistryfundamentals/chapter/libreaclone-ionic-radii-and-isoelectronic-series/</t>
      </text>
    </comment>
    <comment ref="I132" authorId="15" shapeId="0" xr:uid="{67DFE29E-88CA-4833-963D-E9BC4797944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https://pressbooks.online.ucf.edu/chemistryfundamentals/chapter/libreaclone-ionic-radii-and-isoelectronic-series/</t>
      </text>
    </comment>
    <comment ref="J132" authorId="16" shapeId="0" xr:uid="{57E71183-93CB-42D4-AD29-6FEB4AC217B5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“Ion Motion in Water”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tc={9D2B47ED-24AE-434D-B532-E067474C3BD6}</author>
    <author>tc={4E54708B-91A9-4DE9-8BAE-249410627D87}</author>
    <author>tc={498C293D-A367-4383-A8F8-B913B3222A68}</author>
    <author>tc={38D4F401-989B-4D2F-9785-DDE711D782DF}</author>
    <author>tc={C669939E-720F-462F-B16A-797522BBF04D}</author>
    <author>tc={F692C5E2-CC6C-42E6-A6DB-9B512993C028}</author>
  </authors>
  <commentList>
    <comment ref="E1" authorId="0" shapeId="0" xr:uid="{9D2B47ED-24AE-434D-B532-E067474C3BD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https://pubchem.ncbi.nlm.nih.gov/ptable/atomic-mass/</t>
      </text>
    </comment>
    <comment ref="F1" authorId="1" shapeId="0" xr:uid="{4E54708B-91A9-4DE9-8BAE-249410627D87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https://pressbooks.online.ucf.edu/chemistryfundamentals/chapter/libreaclone-ionic-radii-and-isoelectronic-series/</t>
      </text>
    </comment>
    <comment ref="I1" authorId="2" shapeId="0" xr:uid="{498C293D-A367-4383-A8F8-B913B3222A6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https://pressbooks.online.ucf.edu/chemistryfundamentals/chapter/libreaclone-ionic-radii-and-isoelectronic-series/</t>
      </text>
    </comment>
    <comment ref="C120" authorId="3" shapeId="0" xr:uid="{38D4F401-989B-4D2F-9785-DDE711D782D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https://www.thermofisher.com/order/catalog/product/Q10101MP
Assume: CdSe comprises entire Qdot, CdSe is NOT in wurtzite (hexagonal) crystal structure (each atom alternates: CdSeCdSe…), each CdSe pair is a perfect sphere with a radius of each atom’s radius combined, each streptavidin molecule is a perfect sphere (radius: 2nm), 2 streptavidin molecules contribute to total Qdot radius, 5 streptavidin molecules per Qdot (low end of range from website)</t>
      </text>
    </comment>
    <comment ref="F120" authorId="4" shapeId="0" xr:uid="{C669939E-720F-462F-B16A-797522BBF04D}">
      <text>
        <t>[Threaded comment]
Your version of Excel allows you to read this threaded comment; however, any edits to it will get removed if the file is opened in a newer version of Excel. Learn more: https://go.microsoft.com/fwlink/?linkid=870924
Comment:
    Arbitrarily chosen (actual charge is likely very low at neutral pH)</t>
      </text>
    </comment>
    <comment ref="H120" authorId="5" shapeId="0" xr:uid="{F692C5E2-CC6C-42E6-A6DB-9B512993C028}">
      <text>
        <t>[Threaded comment]
Your version of Excel allows you to read this threaded comment; however, any edits to it will get removed if the file is opened in a newer version of Excel. Learn more: https://go.microsoft.com/fwlink/?linkid=870924
Comment:
    =(number of streptavidin molecules per Qdot)*(mass of Qdot)+(number of CdSe “spheres” possible in total volume of Qdot sphere)*((Cd mass)+(Se mass))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tc={39B80C9A-5104-4880-AABF-E1B7591A06C6}</author>
    <author>tc={3715F2D5-E77F-4363-A9B6-94A4DEE262EC}</author>
    <author>tc={1EF42398-BAC1-494B-AB20-B00A77123B52}</author>
    <author>tc={7AEA1D5C-8847-4970-8346-969F56D52F93}</author>
  </authors>
  <commentList>
    <comment ref="G2" authorId="0" shapeId="0" xr:uid="{39B80C9A-5104-4880-AABF-E1B7591A06C6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all COOH have been deprotonated at ~pH7</t>
      </text>
    </comment>
    <comment ref="I2" authorId="1" shapeId="0" xr:uid="{3715F2D5-E77F-4363-A9B6-94A4DEE262EC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normal distribution of sphere size, r = mean - 2*standard deviation = 9.16um</t>
      </text>
    </comment>
    <comment ref="I3" authorId="2" shapeId="0" xr:uid="{1EF42398-BAC1-494B-AB20-B00A77123B52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size and max tolerance measured in Dr. Lapizco-Encinas lab = 10.7um</t>
      </text>
    </comment>
    <comment ref="G4" authorId="3" shapeId="0" xr:uid="{7AEA1D5C-8847-4970-8346-969F56D52F93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all COOH have been deprotonated at ~pH7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tc={1688520D-430E-44D1-9744-E44F0BB67C39}</author>
    <author>tc={1E619FB9-41BD-4B1C-A900-A88CE5E2A7BB}</author>
    <author>tc={D11B3E21-2487-4D32-9FAB-775410382D36}</author>
    <author>tc={4562D353-2079-4084-85F2-C4FBAAF4A340}</author>
  </authors>
  <commentList>
    <comment ref="G2" authorId="0" shapeId="0" xr:uid="{1688520D-430E-44D1-9744-E44F0BB67C39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all COOH have been deprotonated at ~pH7</t>
      </text>
    </comment>
    <comment ref="I2" authorId="1" shapeId="0" xr:uid="{1E619FB9-41BD-4B1C-A900-A88CE5E2A7BB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normal distribution of sphere size, r = mean - 2*standard deviation = 1.68um</t>
      </text>
    </comment>
    <comment ref="G4" authorId="2" shapeId="0" xr:uid="{D11B3E21-2487-4D32-9FAB-775410382D36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all COOH have been deprotonated at ~pH7</t>
      </text>
    </comment>
    <comment ref="I5" authorId="3" shapeId="0" xr:uid="{4562D353-2079-4084-85F2-C4FBAAF4A340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size and max tolerance measured in Dr. Lapizco-Encinas lab = 2.5um</t>
      </text>
    </comment>
  </commentList>
</comments>
</file>

<file path=xl/sharedStrings.xml><?xml version="1.0" encoding="utf-8"?>
<sst xmlns="http://schemas.openxmlformats.org/spreadsheetml/2006/main" count="625" uniqueCount="292">
  <si>
    <t>Atomic Number</t>
  </si>
  <si>
    <t>Charge Number</t>
  </si>
  <si>
    <t>Avogadro's Number</t>
  </si>
  <si>
    <t>Elementary Charge</t>
  </si>
  <si>
    <t>Electron Mass</t>
  </si>
  <si>
    <t>C</t>
  </si>
  <si>
    <t>1/mol</t>
  </si>
  <si>
    <t>Symbol</t>
  </si>
  <si>
    <t>H</t>
  </si>
  <si>
    <t>He</t>
  </si>
  <si>
    <t>Helium</t>
  </si>
  <si>
    <t>Li</t>
  </si>
  <si>
    <t>Lithium</t>
  </si>
  <si>
    <t>Be</t>
  </si>
  <si>
    <t>Beryllium</t>
  </si>
  <si>
    <t>B</t>
  </si>
  <si>
    <t>Boron</t>
  </si>
  <si>
    <t>Carbon</t>
  </si>
  <si>
    <t>N</t>
  </si>
  <si>
    <t>Nitrogen</t>
  </si>
  <si>
    <t>O</t>
  </si>
  <si>
    <t>Oxygen</t>
  </si>
  <si>
    <t>F</t>
  </si>
  <si>
    <t>Fluorine</t>
  </si>
  <si>
    <t>Ne</t>
  </si>
  <si>
    <t>Neon</t>
  </si>
  <si>
    <t>Na</t>
  </si>
  <si>
    <t>Sodium</t>
  </si>
  <si>
    <t>Mg</t>
  </si>
  <si>
    <t>Magnesium</t>
  </si>
  <si>
    <t>Al</t>
  </si>
  <si>
    <t>Aluminum</t>
  </si>
  <si>
    <t>Si</t>
  </si>
  <si>
    <t>Silicon</t>
  </si>
  <si>
    <t>P</t>
  </si>
  <si>
    <t>Phosphorus</t>
  </si>
  <si>
    <t>S</t>
  </si>
  <si>
    <t>Sulfur</t>
  </si>
  <si>
    <t>Cl</t>
  </si>
  <si>
    <t>Chlorine</t>
  </si>
  <si>
    <t>Ar</t>
  </si>
  <si>
    <t>Argon</t>
  </si>
  <si>
    <t>K</t>
  </si>
  <si>
    <t>Potassium</t>
  </si>
  <si>
    <t>Ca</t>
  </si>
  <si>
    <t>Calcium</t>
  </si>
  <si>
    <t>Sc</t>
  </si>
  <si>
    <t>Scandium</t>
  </si>
  <si>
    <t>Ti</t>
  </si>
  <si>
    <t>Titanium</t>
  </si>
  <si>
    <t>V</t>
  </si>
  <si>
    <t>Vanadium</t>
  </si>
  <si>
    <t>Cr</t>
  </si>
  <si>
    <t>Chromium</t>
  </si>
  <si>
    <t>Mn</t>
  </si>
  <si>
    <t>Manganese</t>
  </si>
  <si>
    <t>Fe</t>
  </si>
  <si>
    <t>Iron</t>
  </si>
  <si>
    <t>Co</t>
  </si>
  <si>
    <t>Cobalt</t>
  </si>
  <si>
    <t>Ni</t>
  </si>
  <si>
    <t>Nickel</t>
  </si>
  <si>
    <t>Cu</t>
  </si>
  <si>
    <t>Copper</t>
  </si>
  <si>
    <t>Zn</t>
  </si>
  <si>
    <t>Zinc</t>
  </si>
  <si>
    <t>Ga</t>
  </si>
  <si>
    <t>Gallium</t>
  </si>
  <si>
    <t>Ge</t>
  </si>
  <si>
    <t>Germanium</t>
  </si>
  <si>
    <t>As</t>
  </si>
  <si>
    <t>Arsenic</t>
  </si>
  <si>
    <t>Se</t>
  </si>
  <si>
    <t>Selenium</t>
  </si>
  <si>
    <t>Br</t>
  </si>
  <si>
    <t>Bromine</t>
  </si>
  <si>
    <t>Kr</t>
  </si>
  <si>
    <t>Krypton</t>
  </si>
  <si>
    <t>Rb</t>
  </si>
  <si>
    <t>Rubidium</t>
  </si>
  <si>
    <t>Sr</t>
  </si>
  <si>
    <t>Strontium</t>
  </si>
  <si>
    <t>Y</t>
  </si>
  <si>
    <t>Yttrium</t>
  </si>
  <si>
    <t>Zr</t>
  </si>
  <si>
    <t>Zirconium</t>
  </si>
  <si>
    <t>Nb</t>
  </si>
  <si>
    <t>Niobium</t>
  </si>
  <si>
    <t>Mo</t>
  </si>
  <si>
    <t>Molybdenum</t>
  </si>
  <si>
    <t>Tc</t>
  </si>
  <si>
    <t>Technetium</t>
  </si>
  <si>
    <t>Ru</t>
  </si>
  <si>
    <t>Ruthenium</t>
  </si>
  <si>
    <t>Rh</t>
  </si>
  <si>
    <t>Rhodium</t>
  </si>
  <si>
    <t>Pd</t>
  </si>
  <si>
    <t>Palladium</t>
  </si>
  <si>
    <t>Ag</t>
  </si>
  <si>
    <t>Silver</t>
  </si>
  <si>
    <t>Cd</t>
  </si>
  <si>
    <t>Cadmium</t>
  </si>
  <si>
    <t>In</t>
  </si>
  <si>
    <t>Indium</t>
  </si>
  <si>
    <t>Sn</t>
  </si>
  <si>
    <t>Tin</t>
  </si>
  <si>
    <t>Sb</t>
  </si>
  <si>
    <t>Antimony</t>
  </si>
  <si>
    <t>Te</t>
  </si>
  <si>
    <t>Tellurium</t>
  </si>
  <si>
    <t>I</t>
  </si>
  <si>
    <t>Iodine</t>
  </si>
  <si>
    <t>Xe</t>
  </si>
  <si>
    <t>Xenon</t>
  </si>
  <si>
    <t>Cs</t>
  </si>
  <si>
    <t>Cesium</t>
  </si>
  <si>
    <t>Ba</t>
  </si>
  <si>
    <t>Barium</t>
  </si>
  <si>
    <t>La</t>
  </si>
  <si>
    <t>Lanthanum</t>
  </si>
  <si>
    <t>Ce</t>
  </si>
  <si>
    <t>Cerium</t>
  </si>
  <si>
    <t>Pr</t>
  </si>
  <si>
    <t>Praseodymium</t>
  </si>
  <si>
    <t>Nd</t>
  </si>
  <si>
    <t>Neodymium</t>
  </si>
  <si>
    <t>Pm</t>
  </si>
  <si>
    <t>Promethium</t>
  </si>
  <si>
    <t>Sm</t>
  </si>
  <si>
    <t>Samarium</t>
  </si>
  <si>
    <t>Eu</t>
  </si>
  <si>
    <t>Europium</t>
  </si>
  <si>
    <t>Gd</t>
  </si>
  <si>
    <t>Gadolinium</t>
  </si>
  <si>
    <t>Tb</t>
  </si>
  <si>
    <t>Terbium</t>
  </si>
  <si>
    <t>Dy</t>
  </si>
  <si>
    <t>Dysprosium</t>
  </si>
  <si>
    <t>Ho</t>
  </si>
  <si>
    <t>Holmium</t>
  </si>
  <si>
    <t>Er</t>
  </si>
  <si>
    <t>Erbium</t>
  </si>
  <si>
    <t>Tm</t>
  </si>
  <si>
    <t>Thulium</t>
  </si>
  <si>
    <t>Yb</t>
  </si>
  <si>
    <t>Ytterbium</t>
  </si>
  <si>
    <t>Lu</t>
  </si>
  <si>
    <t>Lutetium</t>
  </si>
  <si>
    <t>Hf</t>
  </si>
  <si>
    <t>Hafnium</t>
  </si>
  <si>
    <t>Ta</t>
  </si>
  <si>
    <t>Tantalum</t>
  </si>
  <si>
    <t>W</t>
  </si>
  <si>
    <t>Tungsten</t>
  </si>
  <si>
    <t>Re</t>
  </si>
  <si>
    <t>Rhenium</t>
  </si>
  <si>
    <t>Os</t>
  </si>
  <si>
    <t>Osmium</t>
  </si>
  <si>
    <t>Ir</t>
  </si>
  <si>
    <t>Iridium</t>
  </si>
  <si>
    <t>Pt</t>
  </si>
  <si>
    <t>Platinum</t>
  </si>
  <si>
    <t>Au</t>
  </si>
  <si>
    <t>Gold</t>
  </si>
  <si>
    <t>Hg</t>
  </si>
  <si>
    <t>Mercury</t>
  </si>
  <si>
    <t>Tl</t>
  </si>
  <si>
    <t>Thallium</t>
  </si>
  <si>
    <t>Pb</t>
  </si>
  <si>
    <t>Lead</t>
  </si>
  <si>
    <t>Bi</t>
  </si>
  <si>
    <t>Bismuth</t>
  </si>
  <si>
    <t>Po</t>
  </si>
  <si>
    <t>Polonium</t>
  </si>
  <si>
    <t>At</t>
  </si>
  <si>
    <t>Astatine</t>
  </si>
  <si>
    <t>Rn</t>
  </si>
  <si>
    <t>Radon</t>
  </si>
  <si>
    <t>Fr</t>
  </si>
  <si>
    <t>Francium</t>
  </si>
  <si>
    <t>Ra</t>
  </si>
  <si>
    <t>Radium</t>
  </si>
  <si>
    <t>Ac</t>
  </si>
  <si>
    <t>Actinium</t>
  </si>
  <si>
    <t>Th</t>
  </si>
  <si>
    <t>Thorium</t>
  </si>
  <si>
    <t>Pa</t>
  </si>
  <si>
    <t>Protactinium</t>
  </si>
  <si>
    <t>U</t>
  </si>
  <si>
    <t>Uranium</t>
  </si>
  <si>
    <t>Np</t>
  </si>
  <si>
    <t>Neptunium</t>
  </si>
  <si>
    <t>Pu</t>
  </si>
  <si>
    <t>Plutonium</t>
  </si>
  <si>
    <t>Am</t>
  </si>
  <si>
    <t>Americium</t>
  </si>
  <si>
    <t>Cm</t>
  </si>
  <si>
    <t>Curium</t>
  </si>
  <si>
    <t>Bk</t>
  </si>
  <si>
    <t>Berkelium</t>
  </si>
  <si>
    <t>Cf</t>
  </si>
  <si>
    <t>Californium</t>
  </si>
  <si>
    <t>Es</t>
  </si>
  <si>
    <t>Einsteinium</t>
  </si>
  <si>
    <t>Fm</t>
  </si>
  <si>
    <t>Fermium</t>
  </si>
  <si>
    <t>Md</t>
  </si>
  <si>
    <t>Mendelevium</t>
  </si>
  <si>
    <t>No</t>
  </si>
  <si>
    <t>Nobelium</t>
  </si>
  <si>
    <t>Lr</t>
  </si>
  <si>
    <t>Lawrencium</t>
  </si>
  <si>
    <t>Rf</t>
  </si>
  <si>
    <t>Rutherfordium</t>
  </si>
  <si>
    <t>Db</t>
  </si>
  <si>
    <t>Dubnium</t>
  </si>
  <si>
    <t>Sg</t>
  </si>
  <si>
    <t>Seaborgium</t>
  </si>
  <si>
    <t>Bh</t>
  </si>
  <si>
    <t>Bohrium</t>
  </si>
  <si>
    <t>Hs</t>
  </si>
  <si>
    <t>Hassium</t>
  </si>
  <si>
    <t>Mt</t>
  </si>
  <si>
    <t>Meitnerium</t>
  </si>
  <si>
    <t>Ds</t>
  </si>
  <si>
    <t>Darmstadtium</t>
  </si>
  <si>
    <t>Rg</t>
  </si>
  <si>
    <t>Roentgenium</t>
  </si>
  <si>
    <t>Cn</t>
  </si>
  <si>
    <t>Copernicium</t>
  </si>
  <si>
    <t>Nh</t>
  </si>
  <si>
    <t>Nihonium</t>
  </si>
  <si>
    <t>Fl</t>
  </si>
  <si>
    <t>Flerovium</t>
  </si>
  <si>
    <t>Mc</t>
  </si>
  <si>
    <t>Moscovium</t>
  </si>
  <si>
    <t>Lv</t>
  </si>
  <si>
    <t>Livermorium</t>
  </si>
  <si>
    <t>Ts</t>
  </si>
  <si>
    <t>Tennessine</t>
  </si>
  <si>
    <t>Og</t>
  </si>
  <si>
    <t>Oganesson</t>
  </si>
  <si>
    <t>Element</t>
  </si>
  <si>
    <t>Atomic Mass [kg]</t>
  </si>
  <si>
    <t>Ionic Mass [kg]</t>
  </si>
  <si>
    <t>Ionic Radius [m]</t>
  </si>
  <si>
    <t>Atomic Radius [m]</t>
  </si>
  <si>
    <t>Charge [C]</t>
  </si>
  <si>
    <t>Hydrogen</t>
  </si>
  <si>
    <t>AtomicNumber</t>
  </si>
  <si>
    <t>AtomicMass</t>
  </si>
  <si>
    <t>AtomicRadius</t>
  </si>
  <si>
    <t>ChargeNumber</t>
  </si>
  <si>
    <t>Charge</t>
  </si>
  <si>
    <t>IonicMass</t>
  </si>
  <si>
    <t>IonicRadius</t>
  </si>
  <si>
    <t>Zeta [kg/s]</t>
  </si>
  <si>
    <t>Zeta</t>
  </si>
  <si>
    <t>Quantum Dot</t>
  </si>
  <si>
    <t>Carboxylate-Modified Microsphere (0.5 micron)</t>
  </si>
  <si>
    <t>Carboxylate-Modified Microsphere (2 micron)</t>
  </si>
  <si>
    <t>PFOS (C8F17SO3-)</t>
  </si>
  <si>
    <t>kg/mol</t>
  </si>
  <si>
    <t>PFOA (C8F15O2-)</t>
  </si>
  <si>
    <t>E. Coli</t>
  </si>
  <si>
    <t>B. Subtilis</t>
  </si>
  <si>
    <t>Faraday Constant</t>
  </si>
  <si>
    <t>C/mol</t>
  </si>
  <si>
    <t>Carboxylate-Modified Microsphere (5 micron)</t>
  </si>
  <si>
    <t>Carboxylate-Modified Microsphere (10 micron)</t>
  </si>
  <si>
    <t>Carboxylate-Modified Microsphere (15 micron)</t>
  </si>
  <si>
    <t>Microsphere</t>
  </si>
  <si>
    <t>N/A</t>
  </si>
  <si>
    <t>Polystyrene Density</t>
  </si>
  <si>
    <t>kg/m^3</t>
  </si>
  <si>
    <t>Mass [kg]</t>
  </si>
  <si>
    <t>Dynamic Viscosity of Water</t>
  </si>
  <si>
    <t>Pa*s</t>
  </si>
  <si>
    <t>Average: 10um Carboxylate-Modified Polystyrene Microsphere</t>
  </si>
  <si>
    <t>Average: 2um Carboxylate-Modified Polystyrene Microsphere</t>
  </si>
  <si>
    <t>Min Charge Density</t>
  </si>
  <si>
    <t>COOH/m^2</t>
  </si>
  <si>
    <t>Max Charge Density</t>
  </si>
  <si>
    <t>Q/zeta</t>
  </si>
  <si>
    <t>Minimum Size, Minimum Charge: 2um Carboxylate-Modified Polystyrene Microsphere</t>
  </si>
  <si>
    <t>Minimum Size, Maximum Charge: 2um Carboxylate-Modified Polystyrene Microsphere</t>
  </si>
  <si>
    <t>Maximum Size, Minimum Charge: 2um Carboxylate-Modified Polystyrene Microsphere</t>
  </si>
  <si>
    <t>Maximum Size, Maximum Charge: 2um Carboxylate-Modified Polystyrene Microsphere</t>
  </si>
  <si>
    <t>Minimum Size, Minimum Charge: 10um Carboxylate-Modified Polystyrene Microsphere</t>
  </si>
  <si>
    <t>Maximum Size, Minimum Charge: 10um Carboxylate-Modified Polystyrene Microsphere</t>
  </si>
  <si>
    <t>Maximum Size, Maximum Charge: 10um Carboxylate-Modified Polystyrene Microsphere</t>
  </si>
  <si>
    <t>Minimum Size, Maximum Charge: 10um Carboxylate-Modified Polystyrene Microsphere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</si>
</sst>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 Brunner" id="{77929DFC-D66D-4314-ABA9-7A18C4F1DA3B}" userId="8f06a5eb28a5d63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4-12-24T18:17:44.98" personId="{77929DFC-D66D-4314-ABA9-7A18C4F1DA3B}" id="{0DF83098-2118-4364-9B8E-948A1CE75166}">
    <text>https://pubchem.ncbi.nlm.nih.gov/ptable/atomic-mass/</text>
    <extLst>
      <x:ext xmlns:xltc2="http://schemas.microsoft.com/office/spreadsheetml/2020/threadedcomments2" uri="{F7C98A9C-CBB3-438F-8F68-D28B6AF4A901}">
        <xltc2:checksum>3977243499</xltc2:checksum>
        <xltc2:hyperlink startIndex="0" length="52" url="https://pubchem.ncbi.nlm.nih.gov/ptable/atomic-mass/"/>
      </x:ext>
    </extLst>
  </threadedComment>
  <threadedComment ref="F1" dT="2024-12-24T18:37:27.74" personId="{77929DFC-D66D-4314-ABA9-7A18C4F1DA3B}" id="{8853DFE5-9E7F-4F89-9A03-380239EB1DD0}">
    <text>https://pressbooks.online.ucf.edu/chemistryfundamentals/chapter/libreaclone-ionic-radii-and-isoelectronic-series/</text>
    <extLst>
      <x:ext xmlns:xltc2="http://schemas.microsoft.com/office/spreadsheetml/2020/threadedcomments2" uri="{F7C98A9C-CBB3-438F-8F68-D28B6AF4A901}">
        <xltc2:checksum>528638773</xltc2:checksum>
        <xltc2:hyperlink startIndex="0" length="113" url="https://pressbooks.online.ucf.edu/chemistryfundamentals/chapter/libreaclone-ionic-radii-and-isoelectronic-series/"/>
      </x:ext>
    </extLst>
  </threadedComment>
  <threadedComment ref="I1" dT="2024-12-24T18:18:07.30" personId="{77929DFC-D66D-4314-ABA9-7A18C4F1DA3B}" id="{58F516FF-0F1A-4C61-BDD6-ACF8CA6F5F0A}">
    <text>https://pressbooks.online.ucf.edu/chemistryfundamentals/chapter/libreaclone-ionic-radii-and-isoelectronic-series/</text>
    <extLst>
      <x:ext xmlns:xltc2="http://schemas.microsoft.com/office/spreadsheetml/2020/threadedcomments2" uri="{F7C98A9C-CBB3-438F-8F68-D28B6AF4A901}">
        <xltc2:checksum>528638773</xltc2:checksum>
        <xltc2:hyperlink startIndex="0" length="113" url="https://pressbooks.online.ucf.edu/chemistryfundamentals/chapter/libreaclone-ionic-radii-and-isoelectronic-series/"/>
      </x:ext>
    </extLst>
  </threadedComment>
  <threadedComment ref="J1" dT="2025-01-08T22:52:19.99" personId="{77929DFC-D66D-4314-ABA9-7A18C4F1DA3B}" id="{9E649FA8-4823-413E-AB64-B1AB80ABA3AA}">
    <text>From “Ion Motion in Water”</text>
  </threadedComment>
  <threadedComment ref="C120" dT="2025-04-18T04:49:00.44" personId="{77929DFC-D66D-4314-ABA9-7A18C4F1DA3B}" id="{D8EADADC-E028-4F23-9C88-18F78DED6193}">
    <text>https://www.thermofisher.com/order/catalog/product/Q10101MP
Assume: CdSe comprises entire Qdot, CdSe is NOT in wurtzite (hexagonal) crystal structure (each atom alternates: CdSeCdSe…), each CdSe pair is a perfect sphere with a radius of each atom’s radius combined, each streptavidin molecule is a perfect sphere (radius: 2nm), 2 streptavidin molecules contribute to total Qdot radius, 5 streptavidin molecules per Qdot (low end of range from website)</text>
    <extLst>
      <x:ext xmlns:xltc2="http://schemas.microsoft.com/office/spreadsheetml/2020/threadedcomments2" uri="{F7C98A9C-CBB3-438F-8F68-D28B6AF4A901}">
        <xltc2:checksum>3621765381</xltc2:checksum>
        <xltc2:hyperlink startIndex="0" length="59" url="https://www.thermofisher.com/order/catalog/product/Q10101MP"/>
      </x:ext>
    </extLst>
  </threadedComment>
  <threadedComment ref="F120" dT="2025-04-18T05:09:13.81" personId="{77929DFC-D66D-4314-ABA9-7A18C4F1DA3B}" id="{9BCAFEEB-EEA7-40EE-AEEA-677F5128DF81}">
    <text>Arbitrarily chosen (actual charge is likely very low at neutral pH)</text>
  </threadedComment>
  <threadedComment ref="H120" dT="2025-04-18T05:08:26.92" personId="{77929DFC-D66D-4314-ABA9-7A18C4F1DA3B}" id="{0D00C241-0F1D-4C5E-9087-91274F11D1A9}">
    <text>=(number of streptavidin molecules per Qdot)*(mass of Qdot)+(number of CdSe “spheres” possible in total volume of Qdot sphere)*((Cd mass)+(Se mass))</text>
  </threadedComment>
  <threadedComment ref="C121" dT="2025-04-18T05:29:00.64" personId="{77929DFC-D66D-4314-ABA9-7A18C4F1DA3B}" id="{CAF7B0C8-7401-4F58-AD6F-79B19BDC0E19}">
    <text>https://www.thermofisher.com/order/catalog/product/F8888?SID=srch-srp-F8888</text>
    <extLst>
      <x:ext xmlns:xltc2="http://schemas.microsoft.com/office/spreadsheetml/2020/threadedcomments2" uri="{F7C98A9C-CBB3-438F-8F68-D28B6AF4A901}">
        <xltc2:checksum>3415777847</xltc2:checksum>
        <xltc2:hyperlink startIndex="0" length="75" url="https://www.thermofisher.com/order/catalog/product/F8888?SID=srch-srp-F8888"/>
      </x:ext>
    </extLst>
  </threadedComment>
  <threadedComment ref="G121" dT="2025-04-18T05:48:37.75" personId="{77929DFC-D66D-4314-ABA9-7A18C4F1DA3B}" id="{03DB1019-E7C0-48B1-8540-287EE71770C4}">
    <text>Approximate number of carboxylate groups on a microsphere, derived from the charge equivalence listed on the website (0.1-0.2 milliequivalence/g); each carboxylate group has a charge number of -1</text>
  </threadedComment>
  <threadedComment ref="H121" dT="2025-04-18T05:46:24.28" personId="{77929DFC-D66D-4314-ABA9-7A18C4F1DA3B}" id="{6BBA5D04-76D1-487D-8E9A-C66C25AD871C}">
    <text>Approximate mass of polystyrene microsphere using polystyrene density</text>
  </threadedComment>
  <threadedComment ref="I121" dT="2025-04-18T05:30:52.06" personId="{77929DFC-D66D-4314-ABA9-7A18C4F1DA3B}" id="{0E88E1C7-5C95-47B0-B5AA-0F6F36C90F3A}">
    <text>Sizes listed on linked website</text>
  </threadedComment>
  <threadedComment ref="G129" dT="2025-06-04T19:56:12.06" personId="{77929DFC-D66D-4314-ABA9-7A18C4F1DA3B}" id="{2C699A97-4814-4456-8B11-A6A505CD4190}">
    <text>https://pubs.acs.org/doi/10.1021/acs.analchem.0c03653; -80 mC/m^2 low end</text>
    <extLst>
      <x:ext xmlns:xltc2="http://schemas.microsoft.com/office/spreadsheetml/2020/threadedcomments2" uri="{F7C98A9C-CBB3-438F-8F68-D28B6AF4A901}">
        <xltc2:checksum>1204584422</xltc2:checksum>
        <xltc2:hyperlink startIndex="0" length="53" url="https://pubs.acs.org/doi/10.1021/acs.analchem.0c03653"/>
      </x:ext>
    </extLst>
  </threadedComment>
  <threadedComment ref="G130" dT="2025-06-04T19:56:12.06" personId="{77929DFC-D66D-4314-ABA9-7A18C4F1DA3B}" id="{59DF7679-1773-4736-8549-BAA2DA3C3150}">
    <text>https://pubs.acs.org/doi/10.1021/acs.analchem.0c03653; -80 mC/m^2 low end</text>
    <extLst>
      <x:ext xmlns:xltc2="http://schemas.microsoft.com/office/spreadsheetml/2020/threadedcomments2" uri="{F7C98A9C-CBB3-438F-8F68-D28B6AF4A901}">
        <xltc2:checksum>1204584422</xltc2:checksum>
        <xltc2:hyperlink startIndex="0" length="53" url="https://pubs.acs.org/doi/10.1021/acs.analchem.0c03653"/>
      </x:ext>
    </extLst>
  </threadedComment>
  <threadedComment ref="E132" dT="2024-12-24T18:17:44.98" personId="{77929DFC-D66D-4314-ABA9-7A18C4F1DA3B}" id="{4D13592C-AF50-41F8-8F6A-9FECFF721C33}">
    <text>https://pubchem.ncbi.nlm.nih.gov/ptable/atomic-mass/</text>
    <extLst>
      <x:ext xmlns:xltc2="http://schemas.microsoft.com/office/spreadsheetml/2020/threadedcomments2" uri="{F7C98A9C-CBB3-438F-8F68-D28B6AF4A901}">
        <xltc2:checksum>3977243499</xltc2:checksum>
        <xltc2:hyperlink startIndex="0" length="52" url="https://pubchem.ncbi.nlm.nih.gov/ptable/atomic-mass/"/>
      </x:ext>
    </extLst>
  </threadedComment>
  <threadedComment ref="F132" dT="2024-12-24T18:37:27.74" personId="{77929DFC-D66D-4314-ABA9-7A18C4F1DA3B}" id="{D13D13FA-A75C-40FE-B7DF-969580340E44}">
    <text>https://pressbooks.online.ucf.edu/chemistryfundamentals/chapter/libreaclone-ionic-radii-and-isoelectronic-series/</text>
    <extLst>
      <x:ext xmlns:xltc2="http://schemas.microsoft.com/office/spreadsheetml/2020/threadedcomments2" uri="{F7C98A9C-CBB3-438F-8F68-D28B6AF4A901}">
        <xltc2:checksum>528638773</xltc2:checksum>
        <xltc2:hyperlink startIndex="0" length="113" url="https://pressbooks.online.ucf.edu/chemistryfundamentals/chapter/libreaclone-ionic-radii-and-isoelectronic-series/"/>
      </x:ext>
    </extLst>
  </threadedComment>
  <threadedComment ref="I132" dT="2024-12-24T18:18:07.30" personId="{77929DFC-D66D-4314-ABA9-7A18C4F1DA3B}" id="{67DFE29E-88CA-4833-963D-E9BC47979445}">
    <text>https://pressbooks.online.ucf.edu/chemistryfundamentals/chapter/libreaclone-ionic-radii-and-isoelectronic-series/</text>
    <extLst>
      <x:ext xmlns:xltc2="http://schemas.microsoft.com/office/spreadsheetml/2020/threadedcomments2" uri="{F7C98A9C-CBB3-438F-8F68-D28B6AF4A901}">
        <xltc2:checksum>528638773</xltc2:checksum>
        <xltc2:hyperlink startIndex="0" length="113" url="https://pressbooks.online.ucf.edu/chemistryfundamentals/chapter/libreaclone-ionic-radii-and-isoelectronic-series/"/>
      </x:ext>
    </extLst>
  </threadedComment>
  <threadedComment ref="J132" dT="2025-01-08T22:52:19.99" personId="{77929DFC-D66D-4314-ABA9-7A18C4F1DA3B}" id="{57E71183-93CB-42D4-AD29-6FEB4AC217B5}">
    <text>From “Ion Motion in Water”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dT="2024-12-24T18:17:44.98" personId="{77929DFC-D66D-4314-ABA9-7A18C4F1DA3B}" id="{9D2B47ED-24AE-434D-B532-E067474C3BD6}">
    <text>https://pubchem.ncbi.nlm.nih.gov/ptable/atomic-mass/</text>
    <extLst>
      <x:ext xmlns:xltc2="http://schemas.microsoft.com/office/spreadsheetml/2020/threadedcomments2" uri="{F7C98A9C-CBB3-438F-8F68-D28B6AF4A901}">
        <xltc2:checksum>3977243499</xltc2:checksum>
        <xltc2:hyperlink startIndex="0" length="52" url="https://pubchem.ncbi.nlm.nih.gov/ptable/atomic-mass/"/>
      </x:ext>
    </extLst>
  </threadedComment>
  <threadedComment ref="F1" dT="2024-12-24T18:37:27.74" personId="{77929DFC-D66D-4314-ABA9-7A18C4F1DA3B}" id="{4E54708B-91A9-4DE9-8BAE-249410627D87}">
    <text>https://pressbooks.online.ucf.edu/chemistryfundamentals/chapter/libreaclone-ionic-radii-and-isoelectronic-series/</text>
    <extLst>
      <x:ext xmlns:xltc2="http://schemas.microsoft.com/office/spreadsheetml/2020/threadedcomments2" uri="{F7C98A9C-CBB3-438F-8F68-D28B6AF4A901}">
        <xltc2:checksum>528638773</xltc2:checksum>
        <xltc2:hyperlink startIndex="0" length="113" url="https://pressbooks.online.ucf.edu/chemistryfundamentals/chapter/libreaclone-ionic-radii-and-isoelectronic-series/"/>
      </x:ext>
    </extLst>
  </threadedComment>
  <threadedComment ref="I1" dT="2024-12-24T18:18:07.30" personId="{77929DFC-D66D-4314-ABA9-7A18C4F1DA3B}" id="{498C293D-A367-4383-A8F8-B913B3222A68}">
    <text>https://pressbooks.online.ucf.edu/chemistryfundamentals/chapter/libreaclone-ionic-radii-and-isoelectronic-series/</text>
    <extLst>
      <x:ext xmlns:xltc2="http://schemas.microsoft.com/office/spreadsheetml/2020/threadedcomments2" uri="{F7C98A9C-CBB3-438F-8F68-D28B6AF4A901}">
        <xltc2:checksum>528638773</xltc2:checksum>
        <xltc2:hyperlink startIndex="0" length="113" url="https://pressbooks.online.ucf.edu/chemistryfundamentals/chapter/libreaclone-ionic-radii-and-isoelectronic-series/"/>
      </x:ext>
    </extLst>
  </threadedComment>
  <threadedComment ref="C120" dT="2025-04-18T04:49:00.44" personId="{77929DFC-D66D-4314-ABA9-7A18C4F1DA3B}" id="{38D4F401-989B-4D2F-9785-DDE711D782DF}">
    <text>https://www.thermofisher.com/order/catalog/product/Q10101MP
Assume: CdSe comprises entire Qdot, CdSe is NOT in wurtzite (hexagonal) crystal structure (each atom alternates: CdSeCdSe…), each CdSe pair is a perfect sphere with a radius of each atom’s radius combined, each streptavidin molecule is a perfect sphere (radius: 2nm), 2 streptavidin molecules contribute to total Qdot radius, 5 streptavidin molecules per Qdot (low end of range from website)</text>
    <extLst>
      <x:ext xmlns:xltc2="http://schemas.microsoft.com/office/spreadsheetml/2020/threadedcomments2" uri="{F7C98A9C-CBB3-438F-8F68-D28B6AF4A901}">
        <xltc2:checksum>3621765381</xltc2:checksum>
        <xltc2:hyperlink startIndex="0" length="59" url="https://www.thermofisher.com/order/catalog/product/Q10101MP"/>
      </x:ext>
    </extLst>
  </threadedComment>
  <threadedComment ref="F120" dT="2025-04-18T05:09:13.81" personId="{77929DFC-D66D-4314-ABA9-7A18C4F1DA3B}" id="{C669939E-720F-462F-B16A-797522BBF04D}">
    <text>Arbitrarily chosen (actual charge is likely very low at neutral pH)</text>
  </threadedComment>
  <threadedComment ref="H120" dT="2025-04-18T05:08:26.92" personId="{77929DFC-D66D-4314-ABA9-7A18C4F1DA3B}" id="{F692C5E2-CC6C-42E6-A6DB-9B512993C028}">
    <text>=(number of streptavidin molecules per Qdot)*(mass of Qdot)+(number of CdSe “spheres” possible in total volume of Qdot sphere)*((Cd mass)+(Se mass))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2" dT="2025-06-17T18:15:49.10" personId="{77929DFC-D66D-4314-ABA9-7A18C4F1DA3B}" id="{39B80C9A-5104-4880-AABF-E1B7591A06C6}">
    <text>Assuming all COOH have been deprotonated at ~pH7</text>
  </threadedComment>
  <threadedComment ref="I2" dT="2025-06-17T18:11:41.40" personId="{77929DFC-D66D-4314-ABA9-7A18C4F1DA3B}" id="{3715F2D5-E77F-4363-A9B6-94A4DEE262EC}">
    <text>Assuming normal distribution of sphere size, r = mean - 2*standard deviation = 9.16um</text>
  </threadedComment>
  <threadedComment ref="I3" dT="2025-06-17T18:30:12.86" personId="{77929DFC-D66D-4314-ABA9-7A18C4F1DA3B}" id="{1EF42398-BAC1-494B-AB20-B00A77123B52}">
    <text>Using size and max tolerance measured in Dr. Lapizco-Encinas lab = 10.7um</text>
  </threadedComment>
  <threadedComment ref="G4" dT="2025-06-17T18:15:49.10" personId="{77929DFC-D66D-4314-ABA9-7A18C4F1DA3B}" id="{7AEA1D5C-8847-4970-8346-969F56D52F93}">
    <text>Assuming all COOH have been deprotonated at ~pH7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2" dT="2025-06-17T18:15:49.10" personId="{77929DFC-D66D-4314-ABA9-7A18C4F1DA3B}" id="{1688520D-430E-44D1-9744-E44F0BB67C39}">
    <text>Assuming all COOH have been deprotonated at ~pH7</text>
  </threadedComment>
  <threadedComment ref="I2" dT="2025-06-17T18:11:41.40" personId="{77929DFC-D66D-4314-ABA9-7A18C4F1DA3B}" id="{1E619FB9-41BD-4B1C-A900-A88CE5E2A7BB}">
    <text>Assuming normal distribution of sphere size, r = mean - 2*standard deviation = 1.68um</text>
  </threadedComment>
  <threadedComment ref="G4" dT="2025-06-17T18:15:49.10" personId="{77929DFC-D66D-4314-ABA9-7A18C4F1DA3B}" id="{D11B3E21-2487-4D32-9FAB-775410382D36}">
    <text>Assuming all COOH have been deprotonated at ~pH7</text>
  </threadedComment>
  <threadedComment ref="I5" dT="2025-06-17T18:42:45.00" personId="{77929DFC-D66D-4314-ABA9-7A18C4F1DA3B}" id="{4562D353-2079-4084-85F2-C4FBAAF4A340}">
    <text>Using size and max tolerance measured in Dr. Lapizco-Encinas lab = 2.5um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9A880-401A-4D98-A139-36172D160AB7}">
  <dimension ref="A1:K129"/>
  <sheetViews>
    <sheetView tabSelected="1" topLeftCell="A103" workbookViewId="0">
      <selection activeCell="M10" sqref="M10"/>
    </sheetView>
  </sheetViews>
  <sheetFormatPr defaultRowHeight="15" x14ac:dyDescent="0.25"/>
  <cols>
    <col min="1" max="1" width="13.42578125" bestFit="1" customWidth="1"/>
    <col min="2" max="2" width="6.85546875" bestFit="1" customWidth="1"/>
    <col min="3" max="3" width="73.7109375" bestFit="1" customWidth="1"/>
    <col min="4" max="4" width="12" bestFit="1" customWidth="1"/>
    <col min="5" max="5" width="12.140625" bestFit="1" customWidth="1"/>
    <col min="6" max="6" width="13.28515625" bestFit="1" customWidth="1"/>
    <col min="7" max="7" width="8.28515625" bestFit="1" customWidth="1"/>
    <col min="8" max="8" width="12" bestFit="1" customWidth="1"/>
    <col min="9" max="9" width="10.28515625" bestFit="1" customWidth="1"/>
    <col min="10" max="10" width="12" bestFit="1" customWidth="1"/>
  </cols>
  <sheetData>
    <row r="1" spans="1:10" x14ac:dyDescent="0.25">
      <c r="A1" t="s">
        <v>249</v>
      </c>
      <c r="B1" t="s">
        <v>7</v>
      </c>
      <c r="C1" t="s">
        <v>242</v>
      </c>
      <c r="D1" t="s">
        <v>250</v>
      </c>
      <c r="E1" t="s">
        <v>251</v>
      </c>
      <c r="F1" t="s">
        <v>252</v>
      </c>
      <c r="G1" t="s">
        <v>253</v>
      </c>
      <c r="H1" t="s">
        <v>254</v>
      </c>
      <c r="I1" t="s">
        <v>255</v>
      </c>
      <c r="J1" t="s">
        <v>257</v>
      </c>
    </row>
    <row r="2" spans="1:10" x14ac:dyDescent="0.25">
      <c r="A2">
        <f>Values!A2</f>
        <v>1</v>
      </c>
      <c r="B2" t="str">
        <f>Values!B2</f>
        <v>H</v>
      </c>
      <c r="C2" t="str">
        <f>Values!C2</f>
        <v>Hydrogen</v>
      </c>
      <c r="D2">
        <f>Values!D2</f>
        <v>1.6738233797112375E-27</v>
      </c>
      <c r="E2">
        <f>Values!E2</f>
        <v>1.2E-10</v>
      </c>
      <c r="F2">
        <f>ABS(Values!F2)</f>
        <v>1</v>
      </c>
      <c r="G2">
        <f>ABS(Values!G2)</f>
        <v>1.5999999999999999E-19</v>
      </c>
      <c r="H2">
        <f>Values!H2</f>
        <v>1.6729124411897674E-27</v>
      </c>
      <c r="I2">
        <f>Values!I2</f>
        <v>0</v>
      </c>
      <c r="J2">
        <f>Values!J2</f>
        <v>0</v>
      </c>
    </row>
    <row r="3" spans="1:10" x14ac:dyDescent="0.25">
      <c r="A3">
        <f>Values!A3</f>
        <v>2</v>
      </c>
      <c r="B3" t="str">
        <f>Values!B3</f>
        <v>He</v>
      </c>
      <c r="C3" t="str">
        <f>Values!C3</f>
        <v>Helium</v>
      </c>
      <c r="D3">
        <f>Values!D3</f>
        <v>6.6464736702700392E-27</v>
      </c>
      <c r="E3">
        <f>Values!E3</f>
        <v>1.4000000000000001E-10</v>
      </c>
      <c r="F3">
        <f>ABS(Values!F3)</f>
        <v>0</v>
      </c>
      <c r="G3">
        <f>ABS(Values!G3)</f>
        <v>0</v>
      </c>
      <c r="H3">
        <f>Values!H3</f>
        <v>0</v>
      </c>
      <c r="I3">
        <f>Values!I3</f>
        <v>0</v>
      </c>
      <c r="J3">
        <f>Values!J3</f>
        <v>0</v>
      </c>
    </row>
    <row r="4" spans="1:10" x14ac:dyDescent="0.25">
      <c r="A4">
        <f>Values!A4</f>
        <v>3</v>
      </c>
      <c r="B4" t="str">
        <f>Values!B4</f>
        <v>Li</v>
      </c>
      <c r="C4" t="str">
        <f>Values!C4</f>
        <v>Lithium</v>
      </c>
      <c r="D4">
        <f>Values!D4</f>
        <v>1.16237734702169E-26</v>
      </c>
      <c r="E4">
        <f>Values!E4</f>
        <v>1.8199999999999999E-10</v>
      </c>
      <c r="F4">
        <f>ABS(Values!F4)</f>
        <v>1</v>
      </c>
      <c r="G4">
        <f>ABS(Values!G4)</f>
        <v>1.5999999999999999E-19</v>
      </c>
      <c r="H4">
        <f>Values!H4</f>
        <v>1.1622862531695429E-26</v>
      </c>
      <c r="I4">
        <f>Values!I4</f>
        <v>7.5999999999999996E-11</v>
      </c>
      <c r="J4">
        <f>Values!J4</f>
        <v>3.4000000000000001E-12</v>
      </c>
    </row>
    <row r="5" spans="1:10" x14ac:dyDescent="0.25">
      <c r="A5">
        <f>Values!A5</f>
        <v>4</v>
      </c>
      <c r="B5" t="str">
        <f>Values!B5</f>
        <v>Be</v>
      </c>
      <c r="C5" t="str">
        <f>Values!C5</f>
        <v>Beryllium</v>
      </c>
      <c r="D5">
        <f>Values!D5</f>
        <v>1.496508195202E-26</v>
      </c>
      <c r="E5">
        <f>Values!E5</f>
        <v>1.5299999999999999E-10</v>
      </c>
      <c r="F5">
        <f>ABS(Values!F5)</f>
        <v>2</v>
      </c>
      <c r="G5">
        <f>ABS(Values!G5)</f>
        <v>3.1999999999999998E-19</v>
      </c>
      <c r="H5">
        <f>Values!H5</f>
        <v>1.4963260074977058E-26</v>
      </c>
      <c r="I5">
        <f>Values!I5</f>
        <v>4.5E-11</v>
      </c>
      <c r="J5">
        <f>Values!J5</f>
        <v>8.4823001646924416E-13</v>
      </c>
    </row>
    <row r="6" spans="1:10" x14ac:dyDescent="0.25">
      <c r="A6">
        <f>Values!A6</f>
        <v>5</v>
      </c>
      <c r="B6" t="str">
        <f>Values!B6</f>
        <v>B</v>
      </c>
      <c r="C6" t="str">
        <f>Values!C6</f>
        <v>Boron</v>
      </c>
      <c r="D6">
        <f>Values!D6</f>
        <v>1.7950427316149283E-26</v>
      </c>
      <c r="E6">
        <f>Values!E6</f>
        <v>1.9200000000000001E-10</v>
      </c>
      <c r="F6">
        <f>ABS(Values!F6)</f>
        <v>0</v>
      </c>
      <c r="G6">
        <f>ABS(Values!G6)</f>
        <v>0</v>
      </c>
      <c r="H6">
        <f>Values!H6</f>
        <v>0</v>
      </c>
      <c r="I6">
        <f>Values!I6</f>
        <v>0</v>
      </c>
      <c r="J6">
        <f>Values!J6</f>
        <v>0</v>
      </c>
    </row>
    <row r="7" spans="1:10" x14ac:dyDescent="0.25">
      <c r="A7">
        <f>Values!A7</f>
        <v>6</v>
      </c>
      <c r="B7" t="str">
        <f>Values!B7</f>
        <v>C</v>
      </c>
      <c r="C7" t="str">
        <f>Values!C7</f>
        <v>Carbon</v>
      </c>
      <c r="D7">
        <f>Values!D7</f>
        <v>1.9944734735825074E-26</v>
      </c>
      <c r="E7">
        <f>Values!E7</f>
        <v>1.7000000000000001E-10</v>
      </c>
      <c r="F7">
        <f>ABS(Values!F7)</f>
        <v>0</v>
      </c>
      <c r="G7">
        <f>ABS(Values!G7)</f>
        <v>0</v>
      </c>
      <c r="H7">
        <f>Values!H7</f>
        <v>0</v>
      </c>
      <c r="I7">
        <f>Values!I7</f>
        <v>0</v>
      </c>
      <c r="J7">
        <f>Values!J7</f>
        <v>0</v>
      </c>
    </row>
    <row r="8" spans="1:10" x14ac:dyDescent="0.25">
      <c r="A8">
        <f>Values!A8</f>
        <v>7</v>
      </c>
      <c r="B8" t="str">
        <f>Values!B8</f>
        <v>N</v>
      </c>
      <c r="C8" t="str">
        <f>Values!C8</f>
        <v>Nitrogen</v>
      </c>
      <c r="D8">
        <f>Values!D8</f>
        <v>2.3259170713904071E-26</v>
      </c>
      <c r="E8">
        <f>Values!E8</f>
        <v>1.5500000000000001E-10</v>
      </c>
      <c r="F8">
        <f>ABS(Values!F8)</f>
        <v>0</v>
      </c>
      <c r="G8">
        <f>ABS(Values!G8)</f>
        <v>0</v>
      </c>
      <c r="H8">
        <f>Values!H8</f>
        <v>0</v>
      </c>
      <c r="I8">
        <f>Values!I8</f>
        <v>0</v>
      </c>
      <c r="J8">
        <f>Values!J8</f>
        <v>0</v>
      </c>
    </row>
    <row r="9" spans="1:10" x14ac:dyDescent="0.25">
      <c r="A9">
        <f>Values!A9</f>
        <v>8</v>
      </c>
      <c r="B9" t="str">
        <f>Values!B9</f>
        <v>O</v>
      </c>
      <c r="C9" t="str">
        <f>Values!C9</f>
        <v>Oxygen</v>
      </c>
      <c r="D9">
        <f>Values!D9</f>
        <v>2.6566964535714372E-26</v>
      </c>
      <c r="E9">
        <f>Values!E9</f>
        <v>1.5199999999999999E-10</v>
      </c>
      <c r="F9">
        <f>ABS(Values!F9)</f>
        <v>2</v>
      </c>
      <c r="G9">
        <f>ABS(Values!G9)</f>
        <v>3.1999999999999998E-19</v>
      </c>
      <c r="H9">
        <f>Values!H9</f>
        <v>2.6568786412757311E-26</v>
      </c>
      <c r="I9">
        <f>Values!I9</f>
        <v>1.4000000000000001E-10</v>
      </c>
      <c r="J9">
        <f>Values!J9</f>
        <v>2.6389378290154263E-12</v>
      </c>
    </row>
    <row r="10" spans="1:10" x14ac:dyDescent="0.25">
      <c r="A10">
        <f>Values!A10</f>
        <v>9</v>
      </c>
      <c r="B10" t="str">
        <f>Values!B10</f>
        <v>F</v>
      </c>
      <c r="C10" t="str">
        <f>Values!C10</f>
        <v>Fluorine</v>
      </c>
      <c r="D10">
        <f>Values!D10</f>
        <v>3.1547590661099059E-26</v>
      </c>
      <c r="E10">
        <f>Values!E10</f>
        <v>1.35E-10</v>
      </c>
      <c r="F10">
        <f>ABS(Values!F10)</f>
        <v>1</v>
      </c>
      <c r="G10">
        <f>ABS(Values!G10)</f>
        <v>1.5999999999999999E-19</v>
      </c>
      <c r="H10">
        <f>Values!H10</f>
        <v>3.1548501599620528E-26</v>
      </c>
      <c r="I10">
        <f>Values!I10</f>
        <v>1.3300000000000001E-10</v>
      </c>
      <c r="J10">
        <f>Values!J10</f>
        <v>2.5069909375646551E-12</v>
      </c>
    </row>
    <row r="11" spans="1:10" x14ac:dyDescent="0.25">
      <c r="A11">
        <f>Values!A11</f>
        <v>10</v>
      </c>
      <c r="B11" t="str">
        <f>Values!B11</f>
        <v>Ne</v>
      </c>
      <c r="C11" t="str">
        <f>Values!C11</f>
        <v>Neon</v>
      </c>
      <c r="D11">
        <f>Values!D11</f>
        <v>3.3509678375568226E-26</v>
      </c>
      <c r="E11">
        <f>Values!E11</f>
        <v>1.5399999999999999E-10</v>
      </c>
      <c r="F11">
        <f>ABS(Values!F11)</f>
        <v>0</v>
      </c>
      <c r="G11">
        <f>ABS(Values!G11)</f>
        <v>0</v>
      </c>
      <c r="H11">
        <f>Values!H11</f>
        <v>0</v>
      </c>
      <c r="I11">
        <f>Values!I11</f>
        <v>0</v>
      </c>
      <c r="J11">
        <f>Values!J11</f>
        <v>0</v>
      </c>
    </row>
    <row r="12" spans="1:10" x14ac:dyDescent="0.25">
      <c r="A12">
        <f>Values!A12</f>
        <v>11</v>
      </c>
      <c r="B12" t="str">
        <f>Values!B12</f>
        <v>Na</v>
      </c>
      <c r="C12" t="str">
        <f>Values!C12</f>
        <v>Sodium</v>
      </c>
      <c r="D12">
        <f>Values!D12</f>
        <v>3.8175410067963933E-26</v>
      </c>
      <c r="E12">
        <f>Values!E12</f>
        <v>2.2699999999999999E-10</v>
      </c>
      <c r="F12">
        <f>ABS(Values!F12)</f>
        <v>1</v>
      </c>
      <c r="G12">
        <f>ABS(Values!G12)</f>
        <v>1.5999999999999999E-19</v>
      </c>
      <c r="H12">
        <f>Values!H12</f>
        <v>3.8174499129442464E-26</v>
      </c>
      <c r="I12">
        <f>Values!I12</f>
        <v>1.02E-10</v>
      </c>
      <c r="J12">
        <f>Values!J12</f>
        <v>3.2000000000000001E-12</v>
      </c>
    </row>
    <row r="13" spans="1:10" x14ac:dyDescent="0.25">
      <c r="A13">
        <f>Values!A13</f>
        <v>12</v>
      </c>
      <c r="B13" t="str">
        <f>Values!B13</f>
        <v>Mg</v>
      </c>
      <c r="C13" t="str">
        <f>Values!C13</f>
        <v>Magnesium</v>
      </c>
      <c r="D13">
        <f>Values!D13</f>
        <v>4.0359402027660342E-26</v>
      </c>
      <c r="E13">
        <f>Values!E13</f>
        <v>1.73E-10</v>
      </c>
      <c r="F13">
        <f>ABS(Values!F13)</f>
        <v>2</v>
      </c>
      <c r="G13">
        <f>ABS(Values!G13)</f>
        <v>3.1999999999999998E-19</v>
      </c>
      <c r="H13">
        <f>Values!H13</f>
        <v>4.0357580150617403E-26</v>
      </c>
      <c r="I13">
        <f>Values!I13</f>
        <v>7.1999999999999997E-11</v>
      </c>
      <c r="J13">
        <f>Values!J13</f>
        <v>1.3571680263507906E-12</v>
      </c>
    </row>
    <row r="14" spans="1:10" x14ac:dyDescent="0.25">
      <c r="A14">
        <f>Values!A14</f>
        <v>13</v>
      </c>
      <c r="B14" t="str">
        <f>Values!B14</f>
        <v>Al</v>
      </c>
      <c r="C14" t="str">
        <f>Values!C14</f>
        <v>Aluminum</v>
      </c>
      <c r="D14">
        <f>Values!D14</f>
        <v>4.48038979414357E-26</v>
      </c>
      <c r="E14">
        <f>Values!E14</f>
        <v>1.8399999999999998E-10</v>
      </c>
      <c r="F14">
        <f>ABS(Values!F14)</f>
        <v>3</v>
      </c>
      <c r="G14">
        <f>ABS(Values!G14)</f>
        <v>4.7999999999999995E-19</v>
      </c>
      <c r="H14">
        <f>Values!H14</f>
        <v>4.4801165125871292E-26</v>
      </c>
      <c r="I14">
        <f>Values!I14</f>
        <v>5.3499999999999996E-11</v>
      </c>
      <c r="J14">
        <f>Values!J14</f>
        <v>1.0084512418023236E-12</v>
      </c>
    </row>
    <row r="15" spans="1:10" x14ac:dyDescent="0.25">
      <c r="A15">
        <f>Values!A15</f>
        <v>14</v>
      </c>
      <c r="B15" t="str">
        <f>Values!B15</f>
        <v>Si</v>
      </c>
      <c r="C15" t="str">
        <f>Values!C15</f>
        <v>Silicon</v>
      </c>
      <c r="D15">
        <f>Values!D15</f>
        <v>4.6636239701577485E-26</v>
      </c>
      <c r="E15">
        <f>Values!E15</f>
        <v>2.1E-10</v>
      </c>
      <c r="F15">
        <f>ABS(Values!F15)</f>
        <v>4</v>
      </c>
      <c r="G15">
        <f>ABS(Values!G15)</f>
        <v>6.3999999999999996E-19</v>
      </c>
      <c r="H15">
        <f>Values!H15</f>
        <v>4.6632595947491601E-26</v>
      </c>
      <c r="I15">
        <f>Values!I15</f>
        <v>3.9999999999999998E-11</v>
      </c>
      <c r="J15">
        <f>Values!J15</f>
        <v>7.5398223686155032E-13</v>
      </c>
    </row>
    <row r="16" spans="1:10" x14ac:dyDescent="0.25">
      <c r="A16">
        <f>Values!A16</f>
        <v>15</v>
      </c>
      <c r="B16" t="str">
        <f>Values!B16</f>
        <v>P</v>
      </c>
      <c r="C16" t="str">
        <f>Values!C16</f>
        <v>Phosphorus</v>
      </c>
      <c r="D16">
        <f>Values!D16</f>
        <v>5.1433141858344739E-26</v>
      </c>
      <c r="E16">
        <f>Values!E16</f>
        <v>1.8E-10</v>
      </c>
      <c r="F16">
        <f>ABS(Values!F16)</f>
        <v>3</v>
      </c>
      <c r="G16">
        <f>ABS(Values!G16)</f>
        <v>4.7999999999999995E-19</v>
      </c>
      <c r="H16">
        <f>Values!H16</f>
        <v>5.1435874673909148E-26</v>
      </c>
      <c r="I16">
        <f>Values!I16</f>
        <v>2.1199999999999999E-10</v>
      </c>
      <c r="J16">
        <f>Values!J16</f>
        <v>3.9961058553662171E-12</v>
      </c>
    </row>
    <row r="17" spans="1:10" x14ac:dyDescent="0.25">
      <c r="A17">
        <f>Values!A17</f>
        <v>16</v>
      </c>
      <c r="B17" t="str">
        <f>Values!B17</f>
        <v>S</v>
      </c>
      <c r="C17" t="str">
        <f>Values!C17</f>
        <v>Sulfur</v>
      </c>
      <c r="D17">
        <f>Values!D17</f>
        <v>5.3253487884265267E-26</v>
      </c>
      <c r="E17">
        <f>Values!E17</f>
        <v>1.8E-10</v>
      </c>
      <c r="F17">
        <f>ABS(Values!F17)</f>
        <v>2</v>
      </c>
      <c r="G17">
        <f>ABS(Values!G17)</f>
        <v>3.1999999999999998E-19</v>
      </c>
      <c r="H17">
        <f>Values!H17</f>
        <v>5.3255309761308206E-26</v>
      </c>
      <c r="I17">
        <f>Values!I17</f>
        <v>1.8399999999999998E-10</v>
      </c>
      <c r="J17">
        <f>Values!J17</f>
        <v>3.4683182895631316E-12</v>
      </c>
    </row>
    <row r="18" spans="1:10" x14ac:dyDescent="0.25">
      <c r="A18">
        <f>Values!A18</f>
        <v>17</v>
      </c>
      <c r="B18" t="str">
        <f>Values!B18</f>
        <v>Cl</v>
      </c>
      <c r="C18" t="str">
        <f>Values!C18</f>
        <v>Chlorine</v>
      </c>
      <c r="D18">
        <f>Values!D18</f>
        <v>5.8866109931312867E-26</v>
      </c>
      <c r="E18">
        <f>Values!E18</f>
        <v>1.7499999999999999E-10</v>
      </c>
      <c r="F18">
        <f>ABS(Values!F18)</f>
        <v>1</v>
      </c>
      <c r="G18">
        <f>ABS(Values!G18)</f>
        <v>1.5999999999999999E-19</v>
      </c>
      <c r="H18">
        <f>Values!H18</f>
        <v>5.8867020869834342E-26</v>
      </c>
      <c r="I18">
        <f>Values!I18</f>
        <v>1.81E-10</v>
      </c>
      <c r="J18">
        <f>Values!J18</f>
        <v>3.4117696217985153E-12</v>
      </c>
    </row>
    <row r="19" spans="1:10" x14ac:dyDescent="0.25">
      <c r="A19">
        <f>Values!A19</f>
        <v>18</v>
      </c>
      <c r="B19" t="str">
        <f>Values!B19</f>
        <v>Ar</v>
      </c>
      <c r="C19" t="str">
        <f>Values!C19</f>
        <v>Argon</v>
      </c>
      <c r="D19">
        <f>Values!D19</f>
        <v>6.6255508780236482E-26</v>
      </c>
      <c r="E19">
        <f>Values!E19</f>
        <v>1.88E-10</v>
      </c>
      <c r="F19">
        <f>ABS(Values!F19)</f>
        <v>0</v>
      </c>
      <c r="G19">
        <f>ABS(Values!G19)</f>
        <v>0</v>
      </c>
      <c r="H19">
        <f>Values!H19</f>
        <v>0</v>
      </c>
      <c r="I19">
        <f>Values!I19</f>
        <v>0</v>
      </c>
      <c r="J19">
        <f>Values!J19</f>
        <v>0</v>
      </c>
    </row>
    <row r="20" spans="1:10" x14ac:dyDescent="0.25">
      <c r="A20">
        <f>Values!A20</f>
        <v>19</v>
      </c>
      <c r="B20" t="str">
        <f>Values!B20</f>
        <v>K</v>
      </c>
      <c r="C20" t="str">
        <f>Values!C20</f>
        <v>Potassium</v>
      </c>
      <c r="D20">
        <f>Values!D20</f>
        <v>6.4924254610083222E-26</v>
      </c>
      <c r="E20">
        <f>Values!E20</f>
        <v>2.7499999999999998E-10</v>
      </c>
      <c r="F20">
        <f>ABS(Values!F20)</f>
        <v>1</v>
      </c>
      <c r="G20">
        <f>ABS(Values!G20)</f>
        <v>1.5999999999999999E-19</v>
      </c>
      <c r="H20">
        <f>Values!H20</f>
        <v>6.4923343671561747E-26</v>
      </c>
      <c r="I20">
        <f>Values!I20</f>
        <v>1.3799999999999999E-10</v>
      </c>
      <c r="J20">
        <f>Values!J20</f>
        <v>2.6012387171723487E-12</v>
      </c>
    </row>
    <row r="21" spans="1:10" x14ac:dyDescent="0.25">
      <c r="A21">
        <f>Values!A21</f>
        <v>20</v>
      </c>
      <c r="B21" t="str">
        <f>Values!B21</f>
        <v>Ca</v>
      </c>
      <c r="C21" t="str">
        <f>Values!C21</f>
        <v>Calcium</v>
      </c>
      <c r="D21">
        <f>Values!D21</f>
        <v>6.6554405812327772E-26</v>
      </c>
      <c r="E21">
        <f>Values!E21</f>
        <v>2.31E-10</v>
      </c>
      <c r="F21">
        <f>ABS(Values!F21)</f>
        <v>2</v>
      </c>
      <c r="G21">
        <f>ABS(Values!G21)</f>
        <v>3.1999999999999998E-19</v>
      </c>
      <c r="H21">
        <f>Values!H21</f>
        <v>6.6552583935284834E-26</v>
      </c>
      <c r="I21">
        <f>Values!I21</f>
        <v>1E-10</v>
      </c>
      <c r="J21">
        <f>Values!J21</f>
        <v>1.884955592153876E-12</v>
      </c>
    </row>
    <row r="22" spans="1:10" x14ac:dyDescent="0.25">
      <c r="A22">
        <f>Values!A22</f>
        <v>21</v>
      </c>
      <c r="B22" t="str">
        <f>Values!B22</f>
        <v>Sc</v>
      </c>
      <c r="C22" t="str">
        <f>Values!C22</f>
        <v>Scandium</v>
      </c>
      <c r="D22">
        <f>Values!D22</f>
        <v>7.4651044855351413E-26</v>
      </c>
      <c r="E22">
        <f>Values!E22</f>
        <v>2.11E-10</v>
      </c>
      <c r="F22">
        <f>ABS(Values!F22)</f>
        <v>3</v>
      </c>
      <c r="G22">
        <f>ABS(Values!G22)</f>
        <v>4.7999999999999995E-19</v>
      </c>
      <c r="H22">
        <f>Values!H22</f>
        <v>7.4648312039786999E-26</v>
      </c>
      <c r="I22">
        <f>Values!I22</f>
        <v>7.4500000000000001E-11</v>
      </c>
      <c r="J22">
        <f>Values!J22</f>
        <v>1.4042919161546376E-12</v>
      </c>
    </row>
    <row r="23" spans="1:10" x14ac:dyDescent="0.25">
      <c r="A23">
        <f>Values!A23</f>
        <v>22</v>
      </c>
      <c r="B23" t="str">
        <f>Values!B23</f>
        <v>Ti</v>
      </c>
      <c r="C23" t="str">
        <f>Values!C23</f>
        <v>Titanium</v>
      </c>
      <c r="D23">
        <f>Values!D23</f>
        <v>7.9485023528410509E-26</v>
      </c>
      <c r="E23">
        <f>Values!E23</f>
        <v>1.87E-10</v>
      </c>
      <c r="F23">
        <f>ABS(Values!F23)</f>
        <v>3</v>
      </c>
      <c r="G23">
        <f>ABS(Values!G23)</f>
        <v>4.7999999999999995E-19</v>
      </c>
      <c r="H23">
        <f>Values!H23</f>
        <v>7.9482290712846095E-26</v>
      </c>
      <c r="I23">
        <f>Values!I23</f>
        <v>6.7000000000000001E-11</v>
      </c>
      <c r="J23">
        <f>Values!J23</f>
        <v>1.2629202467430969E-12</v>
      </c>
    </row>
    <row r="24" spans="1:10" x14ac:dyDescent="0.25">
      <c r="A24">
        <f>Values!A24</f>
        <v>23</v>
      </c>
      <c r="B24" t="str">
        <f>Values!B24</f>
        <v>V</v>
      </c>
      <c r="C24" t="str">
        <f>Values!C24</f>
        <v>Vanadium</v>
      </c>
      <c r="D24">
        <f>Values!D24</f>
        <v>8.4590350890436507E-26</v>
      </c>
      <c r="E24">
        <f>Values!E24</f>
        <v>1.79E-10</v>
      </c>
      <c r="F24">
        <f>ABS(Values!F24)</f>
        <v>2</v>
      </c>
      <c r="G24">
        <f>ABS(Values!G24)</f>
        <v>3.1999999999999998E-19</v>
      </c>
      <c r="H24">
        <f>Values!H24</f>
        <v>8.4588529013393568E-26</v>
      </c>
      <c r="I24">
        <f>Values!I24</f>
        <v>7.8999999999999999E-11</v>
      </c>
      <c r="J24">
        <f>Values!J24</f>
        <v>1.489114917801562E-12</v>
      </c>
    </row>
    <row r="25" spans="1:10" x14ac:dyDescent="0.25">
      <c r="A25">
        <f>Values!A25</f>
        <v>24</v>
      </c>
      <c r="B25" t="str">
        <f>Values!B25</f>
        <v>Cr</v>
      </c>
      <c r="C25" t="str">
        <f>Values!C25</f>
        <v>Chromium</v>
      </c>
      <c r="D25">
        <f>Values!D25</f>
        <v>8.6341389336771338E-26</v>
      </c>
      <c r="E25">
        <f>Values!E25</f>
        <v>1.8899999999999999E-10</v>
      </c>
      <c r="F25">
        <f>ABS(Values!F25)</f>
        <v>2</v>
      </c>
      <c r="G25">
        <f>ABS(Values!G25)</f>
        <v>3.1999999999999998E-19</v>
      </c>
      <c r="H25">
        <f>Values!H25</f>
        <v>8.6339567459728399E-26</v>
      </c>
      <c r="I25">
        <f>Values!I25</f>
        <v>7.9999999999999995E-11</v>
      </c>
      <c r="J25">
        <f>Values!J25</f>
        <v>1.5079644737231006E-12</v>
      </c>
    </row>
    <row r="26" spans="1:10" x14ac:dyDescent="0.25">
      <c r="A26">
        <f>Values!A26</f>
        <v>25</v>
      </c>
      <c r="B26" t="str">
        <f>Values!B26</f>
        <v>Mn</v>
      </c>
      <c r="C26" t="str">
        <f>Values!C26</f>
        <v>Manganese</v>
      </c>
      <c r="D26">
        <f>Values!D26</f>
        <v>9.122676169395948E-26</v>
      </c>
      <c r="E26">
        <f>Values!E26</f>
        <v>1.9699999999999999E-10</v>
      </c>
      <c r="F26">
        <f>ABS(Values!F26)</f>
        <v>2</v>
      </c>
      <c r="G26">
        <f>ABS(Values!G26)</f>
        <v>3.1999999999999998E-19</v>
      </c>
      <c r="H26">
        <f>Values!H26</f>
        <v>9.1224939816916541E-26</v>
      </c>
      <c r="I26">
        <f>Values!I26</f>
        <v>8.2999999999999998E-11</v>
      </c>
      <c r="J26">
        <f>Values!J26</f>
        <v>1.5645131414877169E-12</v>
      </c>
    </row>
    <row r="27" spans="1:10" x14ac:dyDescent="0.25">
      <c r="A27">
        <f>Values!A27</f>
        <v>26</v>
      </c>
      <c r="B27" t="str">
        <f>Values!B27</f>
        <v>Fe</v>
      </c>
      <c r="C27" t="str">
        <f>Values!C27</f>
        <v>Iron</v>
      </c>
      <c r="D27">
        <f>Values!D27</f>
        <v>9.2724501510987602E-26</v>
      </c>
      <c r="E27">
        <f>Values!E27</f>
        <v>1.94E-10</v>
      </c>
      <c r="F27">
        <f>ABS(Values!F27)</f>
        <v>2</v>
      </c>
      <c r="G27">
        <f>ABS(Values!G27)</f>
        <v>3.1999999999999998E-19</v>
      </c>
      <c r="H27">
        <f>Values!H27</f>
        <v>9.2722679633944663E-26</v>
      </c>
      <c r="I27">
        <f>Values!I27</f>
        <v>7.8000000000000002E-11</v>
      </c>
      <c r="J27">
        <f>Values!J27</f>
        <v>1.4702653618800232E-12</v>
      </c>
    </row>
    <row r="28" spans="1:10" x14ac:dyDescent="0.25">
      <c r="A28">
        <f>Values!A28</f>
        <v>27</v>
      </c>
      <c r="B28" t="str">
        <f>Values!B28</f>
        <v>Co</v>
      </c>
      <c r="C28" t="str">
        <f>Values!C28</f>
        <v>Cobalt</v>
      </c>
      <c r="D28">
        <f>Values!D28</f>
        <v>9.7860864348179076E-26</v>
      </c>
      <c r="E28">
        <f>Values!E28</f>
        <v>1.9200000000000001E-10</v>
      </c>
      <c r="F28">
        <f>ABS(Values!F28)</f>
        <v>2</v>
      </c>
      <c r="G28">
        <f>ABS(Values!G28)</f>
        <v>3.1999999999999998E-19</v>
      </c>
      <c r="H28">
        <f>Values!H28</f>
        <v>9.7859042471136137E-26</v>
      </c>
      <c r="I28">
        <f>Values!I28</f>
        <v>7.4500000000000001E-11</v>
      </c>
      <c r="J28">
        <f>Values!J28</f>
        <v>1.4042919161546376E-12</v>
      </c>
    </row>
    <row r="29" spans="1:10" x14ac:dyDescent="0.25">
      <c r="A29">
        <f>Values!A29</f>
        <v>28</v>
      </c>
      <c r="B29" t="str">
        <f>Values!B29</f>
        <v>Ni</v>
      </c>
      <c r="C29" t="str">
        <f>Values!C29</f>
        <v>Nickel</v>
      </c>
      <c r="D29">
        <f>Values!D29</f>
        <v>9.7462019469634584E-26</v>
      </c>
      <c r="E29">
        <f>Values!E29</f>
        <v>1.6300000000000001E-10</v>
      </c>
      <c r="F29">
        <f>ABS(Values!F29)</f>
        <v>2</v>
      </c>
      <c r="G29">
        <f>ABS(Values!G29)</f>
        <v>3.1999999999999998E-19</v>
      </c>
      <c r="H29">
        <f>Values!H29</f>
        <v>9.7460197592591645E-26</v>
      </c>
      <c r="I29">
        <f>Values!I29</f>
        <v>6.8999999999999994E-11</v>
      </c>
      <c r="J29">
        <f>Values!J29</f>
        <v>1.3006193585861743E-12</v>
      </c>
    </row>
    <row r="30" spans="1:10" x14ac:dyDescent="0.25">
      <c r="A30">
        <f>Values!A30</f>
        <v>29</v>
      </c>
      <c r="B30" t="str">
        <f>Values!B30</f>
        <v>Cu</v>
      </c>
      <c r="C30" t="str">
        <f>Values!C30</f>
        <v>Copper</v>
      </c>
      <c r="D30">
        <f>Values!D30</f>
        <v>1.0552725771889795E-25</v>
      </c>
      <c r="E30">
        <f>Values!E30</f>
        <v>1.4000000000000001E-10</v>
      </c>
      <c r="F30">
        <f>ABS(Values!F30)</f>
        <v>2</v>
      </c>
      <c r="G30">
        <f>ABS(Values!G30)</f>
        <v>3.1999999999999998E-19</v>
      </c>
      <c r="H30">
        <f>Values!H30</f>
        <v>1.05525435841855E-25</v>
      </c>
      <c r="I30">
        <f>Values!I30</f>
        <v>7.2999999999999993E-11</v>
      </c>
      <c r="J30">
        <f>Values!J30</f>
        <v>1.3760175822723292E-12</v>
      </c>
    </row>
    <row r="31" spans="1:10" x14ac:dyDescent="0.25">
      <c r="A31">
        <f>Values!A31</f>
        <v>30</v>
      </c>
      <c r="B31" t="str">
        <f>Values!B31</f>
        <v>Zn</v>
      </c>
      <c r="C31" t="str">
        <f>Values!C31</f>
        <v>Zinc</v>
      </c>
      <c r="D31">
        <f>Values!D31</f>
        <v>1.0859925499316958E-25</v>
      </c>
      <c r="E31">
        <f>Values!E31</f>
        <v>1.3899999999999999E-10</v>
      </c>
      <c r="F31">
        <f>ABS(Values!F31)</f>
        <v>2</v>
      </c>
      <c r="G31">
        <f>ABS(Values!G31)</f>
        <v>3.1999999999999998E-19</v>
      </c>
      <c r="H31">
        <f>Values!H31</f>
        <v>1.0859743311612663E-25</v>
      </c>
      <c r="I31">
        <f>Values!I31</f>
        <v>7.4000000000000003E-11</v>
      </c>
      <c r="J31">
        <f>Values!J31</f>
        <v>1.3948671381938683E-12</v>
      </c>
    </row>
    <row r="32" spans="1:10" x14ac:dyDescent="0.25">
      <c r="A32">
        <f>Values!A32</f>
        <v>31</v>
      </c>
      <c r="B32" t="str">
        <f>Values!B32</f>
        <v>Ga</v>
      </c>
      <c r="C32" t="str">
        <f>Values!C32</f>
        <v>Gallium</v>
      </c>
      <c r="D32">
        <f>Values!D32</f>
        <v>1.157777653805621E-25</v>
      </c>
      <c r="E32">
        <f>Values!E32</f>
        <v>1.87E-10</v>
      </c>
      <c r="F32">
        <f>ABS(Values!F32)</f>
        <v>3</v>
      </c>
      <c r="G32">
        <f>ABS(Values!G32)</f>
        <v>4.7999999999999995E-19</v>
      </c>
      <c r="H32">
        <f>Values!H32</f>
        <v>1.1577503256499768E-25</v>
      </c>
      <c r="I32">
        <f>Values!I32</f>
        <v>6.1999999999999993E-11</v>
      </c>
      <c r="J32">
        <f>Values!J32</f>
        <v>1.1686724671354029E-12</v>
      </c>
    </row>
    <row r="33" spans="1:10" x14ac:dyDescent="0.25">
      <c r="A33">
        <f>Values!A33</f>
        <v>32</v>
      </c>
      <c r="B33" t="str">
        <f>Values!B33</f>
        <v>Ge</v>
      </c>
      <c r="C33" t="str">
        <f>Values!C33</f>
        <v>Germanium</v>
      </c>
      <c r="D33">
        <f>Values!D33</f>
        <v>1.2060495244883648E-25</v>
      </c>
      <c r="E33">
        <f>Values!E33</f>
        <v>2.11E-10</v>
      </c>
      <c r="F33">
        <f>ABS(Values!F33)</f>
        <v>4</v>
      </c>
      <c r="G33">
        <f>ABS(Values!G33)</f>
        <v>6.3999999999999996E-19</v>
      </c>
      <c r="H33">
        <f>Values!H33</f>
        <v>1.2060130869475061E-25</v>
      </c>
      <c r="I33">
        <f>Values!I33</f>
        <v>5.2999999999999998E-11</v>
      </c>
      <c r="J33">
        <f>Values!J33</f>
        <v>9.9902646384155429E-13</v>
      </c>
    </row>
    <row r="34" spans="1:10" x14ac:dyDescent="0.25">
      <c r="A34">
        <f>Values!A34</f>
        <v>33</v>
      </c>
      <c r="B34" t="str">
        <f>Values!B34</f>
        <v>As</v>
      </c>
      <c r="C34" t="str">
        <f>Values!C34</f>
        <v>Arsenic</v>
      </c>
      <c r="D34">
        <f>Values!D34</f>
        <v>1.2441022716978139E-25</v>
      </c>
      <c r="E34">
        <f>Values!E34</f>
        <v>1.8500000000000001E-10</v>
      </c>
      <c r="F34">
        <f>ABS(Values!F34)</f>
        <v>3</v>
      </c>
      <c r="G34">
        <f>ABS(Values!G34)</f>
        <v>4.7999999999999995E-19</v>
      </c>
      <c r="H34">
        <f>Values!H34</f>
        <v>1.2440749435421698E-25</v>
      </c>
      <c r="I34">
        <f>Values!I34</f>
        <v>5.8E-11</v>
      </c>
      <c r="J34">
        <f>Values!J34</f>
        <v>1.093274243449248E-12</v>
      </c>
    </row>
    <row r="35" spans="1:10" x14ac:dyDescent="0.25">
      <c r="A35">
        <f>Values!A35</f>
        <v>34</v>
      </c>
      <c r="B35" t="str">
        <f>Values!B35</f>
        <v>Se</v>
      </c>
      <c r="C35" t="str">
        <f>Values!C35</f>
        <v>Selenium</v>
      </c>
      <c r="D35">
        <f>Values!D35</f>
        <v>1.3113277013471868E-25</v>
      </c>
      <c r="E35">
        <f>Values!E35</f>
        <v>1.8999999999999999E-10</v>
      </c>
      <c r="F35">
        <f>ABS(Values!F35)</f>
        <v>2</v>
      </c>
      <c r="G35">
        <f>ABS(Values!G35)</f>
        <v>3.1999999999999998E-19</v>
      </c>
      <c r="H35">
        <f>Values!H35</f>
        <v>1.3113459201176163E-25</v>
      </c>
      <c r="I35">
        <f>Values!I35</f>
        <v>1.9799999999999999E-10</v>
      </c>
      <c r="J35">
        <f>Values!J35</f>
        <v>3.7322120724646739E-12</v>
      </c>
    </row>
    <row r="36" spans="1:10" x14ac:dyDescent="0.25">
      <c r="A36">
        <f>Values!A36</f>
        <v>35</v>
      </c>
      <c r="B36" t="str">
        <f>Values!B36</f>
        <v>Br</v>
      </c>
      <c r="C36" t="str">
        <f>Values!C36</f>
        <v>Bromine</v>
      </c>
      <c r="D36">
        <f>Values!D36</f>
        <v>1.3267707146719036E-25</v>
      </c>
      <c r="E36">
        <f>Values!E36</f>
        <v>1.8299999999999999E-10</v>
      </c>
      <c r="F36">
        <f>ABS(Values!F36)</f>
        <v>1</v>
      </c>
      <c r="G36">
        <f>ABS(Values!G36)</f>
        <v>1.5999999999999999E-19</v>
      </c>
      <c r="H36">
        <f>Values!H36</f>
        <v>1.3267798240571183E-25</v>
      </c>
      <c r="I36">
        <f>Values!I36</f>
        <v>1.96E-10</v>
      </c>
      <c r="J36">
        <f>Values!J36</f>
        <v>3.6945129606215967E-12</v>
      </c>
    </row>
    <row r="37" spans="1:10" x14ac:dyDescent="0.25">
      <c r="A37">
        <f>Values!A37</f>
        <v>36</v>
      </c>
      <c r="B37" t="str">
        <f>Values!B37</f>
        <v>Kr</v>
      </c>
      <c r="C37" t="str">
        <f>Values!C37</f>
        <v>Krypton</v>
      </c>
      <c r="D37">
        <f>Values!D37</f>
        <v>1.3915317382916835E-25</v>
      </c>
      <c r="E37">
        <f>Values!E37</f>
        <v>2.02E-10</v>
      </c>
      <c r="F37">
        <f>ABS(Values!F37)</f>
        <v>0</v>
      </c>
      <c r="G37">
        <f>ABS(Values!G37)</f>
        <v>0</v>
      </c>
      <c r="H37">
        <f>Values!H37</f>
        <v>0</v>
      </c>
      <c r="I37">
        <f>Values!I37</f>
        <v>0</v>
      </c>
      <c r="J37">
        <f>Values!J37</f>
        <v>0</v>
      </c>
    </row>
    <row r="38" spans="1:10" x14ac:dyDescent="0.25">
      <c r="A38">
        <f>Values!A38</f>
        <v>37</v>
      </c>
      <c r="B38" t="str">
        <f>Values!B38</f>
        <v>Rb</v>
      </c>
      <c r="C38" t="str">
        <f>Values!C38</f>
        <v>Rubidium</v>
      </c>
      <c r="D38">
        <f>Values!D38</f>
        <v>1.4192295299321434E-25</v>
      </c>
      <c r="E38">
        <f>Values!E38</f>
        <v>3.0299999999999999E-10</v>
      </c>
      <c r="F38">
        <f>ABS(Values!F38)</f>
        <v>1</v>
      </c>
      <c r="G38">
        <f>ABS(Values!G38)</f>
        <v>1.5999999999999999E-19</v>
      </c>
      <c r="H38">
        <f>Values!H38</f>
        <v>1.4192204205469287E-25</v>
      </c>
      <c r="I38">
        <f>Values!I38</f>
        <v>1.5199999999999999E-10</v>
      </c>
      <c r="J38">
        <f>Values!J38</f>
        <v>2.8651325000738911E-12</v>
      </c>
    </row>
    <row r="39" spans="1:10" x14ac:dyDescent="0.25">
      <c r="A39">
        <f>Values!A39</f>
        <v>38</v>
      </c>
      <c r="B39" t="str">
        <f>Values!B39</f>
        <v>Sr</v>
      </c>
      <c r="C39" t="str">
        <f>Values!C39</f>
        <v>Strontium</v>
      </c>
      <c r="D39">
        <f>Values!D39</f>
        <v>1.4549643306577245E-25</v>
      </c>
      <c r="E39">
        <f>Values!E39</f>
        <v>2.4900000000000002E-10</v>
      </c>
      <c r="F39">
        <f>ABS(Values!F39)</f>
        <v>2</v>
      </c>
      <c r="G39">
        <f>ABS(Values!G39)</f>
        <v>3.1999999999999998E-19</v>
      </c>
      <c r="H39">
        <f>Values!H39</f>
        <v>1.454946111887295E-25</v>
      </c>
      <c r="I39">
        <f>Values!I39</f>
        <v>1.1800000000000001E-10</v>
      </c>
      <c r="J39">
        <f>Values!J39</f>
        <v>2.2242475987415737E-12</v>
      </c>
    </row>
    <row r="40" spans="1:10" x14ac:dyDescent="0.25">
      <c r="A40">
        <f>Values!A40</f>
        <v>39</v>
      </c>
      <c r="B40" t="str">
        <f>Values!B40</f>
        <v>Y</v>
      </c>
      <c r="C40" t="str">
        <f>Values!C40</f>
        <v>Yttrium</v>
      </c>
      <c r="D40">
        <f>Values!D40</f>
        <v>1.4763162061990727E-25</v>
      </c>
      <c r="E40">
        <f>Values!E40</f>
        <v>2.1899999999999999E-10</v>
      </c>
      <c r="F40">
        <f>ABS(Values!F40)</f>
        <v>3</v>
      </c>
      <c r="G40">
        <f>ABS(Values!G40)</f>
        <v>4.7999999999999995E-19</v>
      </c>
      <c r="H40">
        <f>Values!H40</f>
        <v>1.4762888780434286E-25</v>
      </c>
      <c r="I40">
        <f>Values!I40</f>
        <v>8.9999999999999999E-11</v>
      </c>
      <c r="J40">
        <f>Values!J40</f>
        <v>1.6964600329384883E-12</v>
      </c>
    </row>
    <row r="41" spans="1:10" x14ac:dyDescent="0.25">
      <c r="A41">
        <f>Values!A41</f>
        <v>40</v>
      </c>
      <c r="B41" t="str">
        <f>Values!B41</f>
        <v>Zr</v>
      </c>
      <c r="C41" t="str">
        <f>Values!C41</f>
        <v>Zirconium</v>
      </c>
      <c r="D41">
        <f>Values!D41</f>
        <v>1.514743737075983E-25</v>
      </c>
      <c r="E41">
        <f>Values!E41</f>
        <v>1.86E-10</v>
      </c>
      <c r="F41">
        <f>ABS(Values!F41)</f>
        <v>4</v>
      </c>
      <c r="G41">
        <f>ABS(Values!G41)</f>
        <v>6.3999999999999996E-19</v>
      </c>
      <c r="H41">
        <f>Values!H41</f>
        <v>1.5147072995351243E-25</v>
      </c>
      <c r="I41">
        <f>Values!I41</f>
        <v>7.1999999999999997E-11</v>
      </c>
      <c r="J41">
        <f>Values!J41</f>
        <v>1.3571680263507906E-12</v>
      </c>
    </row>
    <row r="42" spans="1:10" x14ac:dyDescent="0.25">
      <c r="A42">
        <f>Values!A42</f>
        <v>41</v>
      </c>
      <c r="B42" t="str">
        <f>Values!B42</f>
        <v>Nb</v>
      </c>
      <c r="C42" t="str">
        <f>Values!C42</f>
        <v>Niobium</v>
      </c>
      <c r="D42">
        <f>Values!D42</f>
        <v>1.5427465697430825E-25</v>
      </c>
      <c r="E42">
        <f>Values!E42</f>
        <v>2.0699999999999998E-10</v>
      </c>
      <c r="F42">
        <f>ABS(Values!F42)</f>
        <v>3</v>
      </c>
      <c r="G42">
        <f>ABS(Values!G42)</f>
        <v>4.7999999999999995E-19</v>
      </c>
      <c r="H42">
        <f>Values!H42</f>
        <v>1.5427192415874383E-25</v>
      </c>
      <c r="I42">
        <f>Values!I42</f>
        <v>7.1999999999999997E-11</v>
      </c>
      <c r="J42">
        <f>Values!J42</f>
        <v>1.3571680263507906E-12</v>
      </c>
    </row>
    <row r="43" spans="1:10" x14ac:dyDescent="0.25">
      <c r="A43">
        <f>Values!A43</f>
        <v>42</v>
      </c>
      <c r="B43" t="str">
        <f>Values!B43</f>
        <v>Mo</v>
      </c>
      <c r="C43" t="str">
        <f>Values!C43</f>
        <v>Molybdenum</v>
      </c>
      <c r="D43">
        <f>Values!D43</f>
        <v>1.5932872349533058E-25</v>
      </c>
      <c r="E43">
        <f>Values!E43</f>
        <v>2.09E-10</v>
      </c>
      <c r="F43">
        <f>ABS(Values!F43)</f>
        <v>4</v>
      </c>
      <c r="G43">
        <f>ABS(Values!G43)</f>
        <v>6.3999999999999996E-19</v>
      </c>
      <c r="H43">
        <f>Values!H43</f>
        <v>1.593250797412447E-25</v>
      </c>
      <c r="I43">
        <f>Values!I43</f>
        <v>6.4999999999999995E-11</v>
      </c>
      <c r="J43">
        <f>Values!J43</f>
        <v>1.2252211349000192E-12</v>
      </c>
    </row>
    <row r="44" spans="1:10" x14ac:dyDescent="0.25">
      <c r="A44">
        <f>Values!A44</f>
        <v>43</v>
      </c>
      <c r="B44" t="str">
        <f>Values!B44</f>
        <v>Tc</v>
      </c>
      <c r="C44" t="str">
        <f>Values!C44</f>
        <v>Technetium</v>
      </c>
      <c r="D44">
        <f>Values!D44</f>
        <v>1.6091679663761298E-25</v>
      </c>
      <c r="E44">
        <f>Values!E44</f>
        <v>2.09E-10</v>
      </c>
      <c r="F44">
        <f>ABS(Values!F44)</f>
        <v>4</v>
      </c>
      <c r="G44">
        <f>ABS(Values!G44)</f>
        <v>6.3999999999999996E-19</v>
      </c>
      <c r="H44">
        <f>Values!H44</f>
        <v>1.6091315288352711E-25</v>
      </c>
      <c r="I44">
        <f>Values!I44</f>
        <v>6.4499999999999997E-11</v>
      </c>
      <c r="J44">
        <f>Values!J44</f>
        <v>1.2157963569392499E-12</v>
      </c>
    </row>
    <row r="45" spans="1:10" x14ac:dyDescent="0.25">
      <c r="A45">
        <f>Values!A45</f>
        <v>44</v>
      </c>
      <c r="B45" t="str">
        <f>Values!B45</f>
        <v>Ru</v>
      </c>
      <c r="C45" t="str">
        <f>Values!C45</f>
        <v>Ruthenium</v>
      </c>
      <c r="D45">
        <f>Values!D45</f>
        <v>1.678804996912759E-25</v>
      </c>
      <c r="E45">
        <f>Values!E45</f>
        <v>2.0699999999999998E-10</v>
      </c>
      <c r="F45">
        <f>ABS(Values!F45)</f>
        <v>3</v>
      </c>
      <c r="G45">
        <f>ABS(Values!G45)</f>
        <v>4.7999999999999995E-19</v>
      </c>
      <c r="H45">
        <f>Values!H45</f>
        <v>1.6787776687571149E-25</v>
      </c>
      <c r="I45">
        <f>Values!I45</f>
        <v>6.7999999999999998E-11</v>
      </c>
      <c r="J45">
        <f>Values!J45</f>
        <v>1.2817698026646355E-12</v>
      </c>
    </row>
    <row r="46" spans="1:10" x14ac:dyDescent="0.25">
      <c r="A46">
        <f>Values!A46</f>
        <v>45</v>
      </c>
      <c r="B46" t="str">
        <f>Values!B46</f>
        <v>Rh</v>
      </c>
      <c r="C46" t="str">
        <f>Values!C46</f>
        <v>Rhodium</v>
      </c>
      <c r="D46">
        <f>Values!D46</f>
        <v>1.7087860297705827E-25</v>
      </c>
      <c r="E46">
        <f>Values!E46</f>
        <v>1.95E-10</v>
      </c>
      <c r="F46">
        <f>ABS(Values!F46)</f>
        <v>3</v>
      </c>
      <c r="G46">
        <f>ABS(Values!G46)</f>
        <v>4.7999999999999995E-19</v>
      </c>
      <c r="H46">
        <f>Values!H46</f>
        <v>1.7087587016149386E-25</v>
      </c>
      <c r="I46">
        <f>Values!I46</f>
        <v>6.6500000000000003E-11</v>
      </c>
      <c r="J46">
        <f>Values!J46</f>
        <v>1.2534954687823276E-12</v>
      </c>
    </row>
    <row r="47" spans="1:10" x14ac:dyDescent="0.25">
      <c r="A47">
        <f>Values!A47</f>
        <v>46</v>
      </c>
      <c r="B47" t="str">
        <f>Values!B47</f>
        <v>Pd</v>
      </c>
      <c r="C47" t="str">
        <f>Values!C47</f>
        <v>Palladium</v>
      </c>
      <c r="D47">
        <f>Values!D47</f>
        <v>1.7671456752864078E-25</v>
      </c>
      <c r="E47">
        <f>Values!E47</f>
        <v>2.02E-10</v>
      </c>
      <c r="F47">
        <f>ABS(Values!F47)</f>
        <v>2</v>
      </c>
      <c r="G47">
        <f>ABS(Values!G47)</f>
        <v>3.1999999999999998E-19</v>
      </c>
      <c r="H47">
        <f>Values!H47</f>
        <v>1.7671274565159783E-25</v>
      </c>
      <c r="I47">
        <f>Values!I47</f>
        <v>8.6E-11</v>
      </c>
      <c r="J47">
        <f>Values!J47</f>
        <v>1.6210618092523332E-12</v>
      </c>
    </row>
    <row r="48" spans="1:10" x14ac:dyDescent="0.25">
      <c r="A48">
        <f>Values!A48</f>
        <v>47</v>
      </c>
      <c r="B48" t="str">
        <f>Values!B48</f>
        <v>Ag</v>
      </c>
      <c r="C48" t="str">
        <f>Values!C48</f>
        <v>Silver</v>
      </c>
      <c r="D48">
        <f>Values!D48</f>
        <v>1.7911902809790849E-25</v>
      </c>
      <c r="E48">
        <f>Values!E48</f>
        <v>1.72E-10</v>
      </c>
      <c r="F48">
        <f>ABS(Values!F48)</f>
        <v>1</v>
      </c>
      <c r="G48">
        <f>ABS(Values!G48)</f>
        <v>1.5999999999999999E-19</v>
      </c>
      <c r="H48">
        <f>Values!H48</f>
        <v>1.7911811715938703E-25</v>
      </c>
      <c r="I48">
        <f>Values!I48</f>
        <v>1.15E-10</v>
      </c>
      <c r="J48">
        <f>Values!J48</f>
        <v>2.1676989309769574E-12</v>
      </c>
    </row>
    <row r="49" spans="1:10" x14ac:dyDescent="0.25">
      <c r="A49">
        <f>Values!A49</f>
        <v>48</v>
      </c>
      <c r="B49" t="str">
        <f>Values!B49</f>
        <v>Cd</v>
      </c>
      <c r="C49" t="str">
        <f>Values!C49</f>
        <v>Cadmium</v>
      </c>
      <c r="D49">
        <f>Values!D49</f>
        <v>1.8666119654101209E-25</v>
      </c>
      <c r="E49">
        <f>Values!E49</f>
        <v>1.58E-10</v>
      </c>
      <c r="F49">
        <f>ABS(Values!F49)</f>
        <v>2</v>
      </c>
      <c r="G49">
        <f>ABS(Values!G49)</f>
        <v>3.1999999999999998E-19</v>
      </c>
      <c r="H49">
        <f>Values!H49</f>
        <v>1.8665937466396914E-25</v>
      </c>
      <c r="I49">
        <f>Values!I49</f>
        <v>9.4999999999999995E-11</v>
      </c>
      <c r="J49">
        <f>Values!J49</f>
        <v>1.7907078125461821E-12</v>
      </c>
    </row>
    <row r="50" spans="1:10" x14ac:dyDescent="0.25">
      <c r="A50">
        <f>Values!A50</f>
        <v>49</v>
      </c>
      <c r="B50" t="str">
        <f>Values!B50</f>
        <v>In</v>
      </c>
      <c r="C50" t="str">
        <f>Values!C50</f>
        <v>Indium</v>
      </c>
      <c r="D50">
        <f>Values!D50</f>
        <v>1.9065977461476672E-25</v>
      </c>
      <c r="E50">
        <f>Values!E50</f>
        <v>1.9300000000000001E-10</v>
      </c>
      <c r="F50">
        <f>ABS(Values!F50)</f>
        <v>3</v>
      </c>
      <c r="G50">
        <f>ABS(Values!G50)</f>
        <v>4.7999999999999995E-19</v>
      </c>
      <c r="H50">
        <f>Values!H50</f>
        <v>1.906570417992023E-25</v>
      </c>
      <c r="I50">
        <f>Values!I50</f>
        <v>7.9999999999999995E-11</v>
      </c>
      <c r="J50">
        <f>Values!J50</f>
        <v>1.5079644737231006E-12</v>
      </c>
    </row>
    <row r="51" spans="1:10" x14ac:dyDescent="0.25">
      <c r="A51">
        <f>Values!A51</f>
        <v>50</v>
      </c>
      <c r="B51" t="str">
        <f>Values!B51</f>
        <v>Sn</v>
      </c>
      <c r="C51" t="str">
        <f>Values!C51</f>
        <v>Tin</v>
      </c>
      <c r="D51">
        <f>Values!D51</f>
        <v>1.9712259266420731E-25</v>
      </c>
      <c r="E51">
        <f>Values!E51</f>
        <v>2.17E-10</v>
      </c>
      <c r="F51">
        <f>ABS(Values!F51)</f>
        <v>4</v>
      </c>
      <c r="G51">
        <f>ABS(Values!G51)</f>
        <v>6.3999999999999996E-19</v>
      </c>
      <c r="H51">
        <f>Values!H51</f>
        <v>1.9711894891012143E-25</v>
      </c>
      <c r="I51">
        <f>Values!I51</f>
        <v>6.8999999999999994E-11</v>
      </c>
      <c r="J51">
        <f>Values!J51</f>
        <v>1.3006193585861743E-12</v>
      </c>
    </row>
    <row r="52" spans="1:10" x14ac:dyDescent="0.25">
      <c r="A52">
        <f>Values!A52</f>
        <v>51</v>
      </c>
      <c r="B52" t="str">
        <f>Values!B52</f>
        <v>Sb</v>
      </c>
      <c r="C52" t="str">
        <f>Values!C52</f>
        <v>Antimony</v>
      </c>
      <c r="D52">
        <f>Values!D52</f>
        <v>2.0218723681908758E-25</v>
      </c>
      <c r="E52">
        <f>Values!E52</f>
        <v>2.0599999999999999E-10</v>
      </c>
      <c r="F52">
        <f>ABS(Values!F52)</f>
        <v>3</v>
      </c>
      <c r="G52">
        <f>ABS(Values!G52)</f>
        <v>4.7999999999999995E-19</v>
      </c>
      <c r="H52">
        <f>Values!H52</f>
        <v>2.0218450400352316E-25</v>
      </c>
      <c r="I52">
        <f>Values!I52</f>
        <v>7.5999999999999996E-11</v>
      </c>
      <c r="J52">
        <f>Values!J52</f>
        <v>1.4325662500369455E-12</v>
      </c>
    </row>
    <row r="53" spans="1:10" x14ac:dyDescent="0.25">
      <c r="A53">
        <f>Values!A53</f>
        <v>52</v>
      </c>
      <c r="B53" t="str">
        <f>Values!B53</f>
        <v>Te</v>
      </c>
      <c r="C53" t="str">
        <f>Values!C53</f>
        <v>Tellurium</v>
      </c>
      <c r="D53">
        <f>Values!D53</f>
        <v>2.1188478497138281E-25</v>
      </c>
      <c r="E53">
        <f>Values!E53</f>
        <v>2.0599999999999999E-10</v>
      </c>
      <c r="F53">
        <f>ABS(Values!F53)</f>
        <v>2</v>
      </c>
      <c r="G53">
        <f>ABS(Values!G53)</f>
        <v>3.1999999999999998E-19</v>
      </c>
      <c r="H53">
        <f>Values!H53</f>
        <v>2.1188660684842574E-25</v>
      </c>
      <c r="I53">
        <f>Values!I53</f>
        <v>2.2099999999999999E-10</v>
      </c>
      <c r="J53">
        <f>Values!J53</f>
        <v>4.1657518586600652E-12</v>
      </c>
    </row>
    <row r="54" spans="1:10" x14ac:dyDescent="0.25">
      <c r="A54">
        <f>Values!A54</f>
        <v>53</v>
      </c>
      <c r="B54" t="str">
        <f>Values!B54</f>
        <v>I</v>
      </c>
      <c r="C54" t="str">
        <f>Values!C54</f>
        <v>Iodine</v>
      </c>
      <c r="D54">
        <f>Values!D54</f>
        <v>2.1072988005016343E-25</v>
      </c>
      <c r="E54">
        <f>Values!E54</f>
        <v>1.9799999999999999E-10</v>
      </c>
      <c r="F54">
        <f>ABS(Values!F54)</f>
        <v>1</v>
      </c>
      <c r="G54">
        <f>ABS(Values!G54)</f>
        <v>1.5999999999999999E-19</v>
      </c>
      <c r="H54">
        <f>Values!H54</f>
        <v>2.1073079098868489E-25</v>
      </c>
      <c r="I54">
        <f>Values!I54</f>
        <v>2.1999999999999999E-10</v>
      </c>
      <c r="J54">
        <f>Values!J54</f>
        <v>4.146902302738527E-12</v>
      </c>
    </row>
    <row r="55" spans="1:10" x14ac:dyDescent="0.25">
      <c r="A55">
        <f>Values!A55</f>
        <v>54</v>
      </c>
      <c r="B55" t="str">
        <f>Values!B55</f>
        <v>Xe</v>
      </c>
      <c r="C55" t="str">
        <f>Values!C55</f>
        <v>Xenon</v>
      </c>
      <c r="D55">
        <f>Values!D55</f>
        <v>2.1801217412925434E-25</v>
      </c>
      <c r="E55">
        <f>Values!E55</f>
        <v>2.16E-10</v>
      </c>
      <c r="F55">
        <f>ABS(Values!F55)</f>
        <v>0</v>
      </c>
      <c r="G55">
        <f>ABS(Values!G55)</f>
        <v>0</v>
      </c>
      <c r="H55">
        <f>Values!H55</f>
        <v>0</v>
      </c>
      <c r="I55">
        <f>Values!I55</f>
        <v>0</v>
      </c>
      <c r="J55">
        <f>Values!J55</f>
        <v>0</v>
      </c>
    </row>
    <row r="56" spans="1:10" x14ac:dyDescent="0.25">
      <c r="A56">
        <f>Values!A56</f>
        <v>55</v>
      </c>
      <c r="B56" t="str">
        <f>Values!B56</f>
        <v>Cs</v>
      </c>
      <c r="C56" t="str">
        <f>Values!C56</f>
        <v>Cesium</v>
      </c>
      <c r="D56">
        <f>Values!D56</f>
        <v>2.2069469528639843E-25</v>
      </c>
      <c r="E56">
        <f>Values!E56</f>
        <v>3.43E-10</v>
      </c>
      <c r="F56">
        <f>ABS(Values!F56)</f>
        <v>1</v>
      </c>
      <c r="G56">
        <f>ABS(Values!G56)</f>
        <v>1.5999999999999999E-19</v>
      </c>
      <c r="H56">
        <f>Values!H56</f>
        <v>2.2069378434787696E-25</v>
      </c>
      <c r="I56">
        <f>Values!I56</f>
        <v>1.6699999999999999E-10</v>
      </c>
      <c r="J56">
        <f>Values!J56</f>
        <v>3.1478758388969725E-12</v>
      </c>
    </row>
    <row r="57" spans="1:10" x14ac:dyDescent="0.25">
      <c r="A57">
        <f>Values!A57</f>
        <v>56</v>
      </c>
      <c r="B57" t="str">
        <f>Values!B57</f>
        <v>Ba</v>
      </c>
      <c r="C57" t="str">
        <f>Values!C57</f>
        <v>Barium</v>
      </c>
      <c r="D57">
        <f>Values!D57</f>
        <v>2.2804183009498442E-25</v>
      </c>
      <c r="E57">
        <f>Values!E57</f>
        <v>2.6800000000000001E-10</v>
      </c>
      <c r="F57">
        <f>ABS(Values!F57)</f>
        <v>2</v>
      </c>
      <c r="G57">
        <f>ABS(Values!G57)</f>
        <v>3.1999999999999998E-19</v>
      </c>
      <c r="H57">
        <f>Values!H57</f>
        <v>2.280400082179415E-25</v>
      </c>
      <c r="I57">
        <f>Values!I57</f>
        <v>1.35E-10</v>
      </c>
      <c r="J57">
        <f>Values!J57</f>
        <v>2.5446900494077324E-12</v>
      </c>
    </row>
    <row r="58" spans="1:10" x14ac:dyDescent="0.25">
      <c r="A58">
        <f>Values!A58</f>
        <v>57</v>
      </c>
      <c r="B58" t="str">
        <f>Values!B58</f>
        <v>La</v>
      </c>
      <c r="C58" t="str">
        <f>Values!C58</f>
        <v>Lanthanum</v>
      </c>
      <c r="D58">
        <f>Values!D58</f>
        <v>2.3065800939531677E-25</v>
      </c>
      <c r="E58">
        <f>Values!E58</f>
        <v>2.4E-10</v>
      </c>
      <c r="F58">
        <f>ABS(Values!F58)</f>
        <v>0</v>
      </c>
      <c r="G58">
        <f>ABS(Values!G58)</f>
        <v>0</v>
      </c>
      <c r="H58">
        <f>Values!H58</f>
        <v>0</v>
      </c>
      <c r="I58">
        <f>Values!I58</f>
        <v>0</v>
      </c>
      <c r="J58">
        <f>Values!J58</f>
        <v>0</v>
      </c>
    </row>
    <row r="59" spans="1:10" x14ac:dyDescent="0.25">
      <c r="A59">
        <f>Values!A59</f>
        <v>58</v>
      </c>
      <c r="B59" t="str">
        <f>Values!B59</f>
        <v>Ce</v>
      </c>
      <c r="C59" t="str">
        <f>Values!C59</f>
        <v>Cerium</v>
      </c>
      <c r="D59">
        <f>Values!D59</f>
        <v>2.3266809193613072E-25</v>
      </c>
      <c r="E59">
        <f>Values!E59</f>
        <v>2.3500000000000002E-10</v>
      </c>
      <c r="F59">
        <f>ABS(Values!F59)</f>
        <v>0</v>
      </c>
      <c r="G59">
        <f>ABS(Values!G59)</f>
        <v>0</v>
      </c>
      <c r="H59">
        <f>Values!H59</f>
        <v>0</v>
      </c>
      <c r="I59">
        <f>Values!I59</f>
        <v>0</v>
      </c>
      <c r="J59">
        <f>Values!J59</f>
        <v>0</v>
      </c>
    </row>
    <row r="60" spans="1:10" x14ac:dyDescent="0.25">
      <c r="A60">
        <f>Values!A60</f>
        <v>59</v>
      </c>
      <c r="B60" t="str">
        <f>Values!B60</f>
        <v>Pr</v>
      </c>
      <c r="C60" t="str">
        <f>Values!C60</f>
        <v>Praseodymium</v>
      </c>
      <c r="D60">
        <f>Values!D60</f>
        <v>2.3398267429404954E-25</v>
      </c>
      <c r="E60">
        <f>Values!E60</f>
        <v>2.39E-10</v>
      </c>
      <c r="F60">
        <f>ABS(Values!F60)</f>
        <v>0</v>
      </c>
      <c r="G60">
        <f>ABS(Values!G60)</f>
        <v>0</v>
      </c>
      <c r="H60">
        <f>Values!H60</f>
        <v>0</v>
      </c>
      <c r="I60">
        <f>Values!I60</f>
        <v>0</v>
      </c>
      <c r="J60">
        <f>Values!J60</f>
        <v>0</v>
      </c>
    </row>
    <row r="61" spans="1:10" x14ac:dyDescent="0.25">
      <c r="A61">
        <f>Values!A61</f>
        <v>60</v>
      </c>
      <c r="B61" t="str">
        <f>Values!B61</f>
        <v>Nd</v>
      </c>
      <c r="C61" t="str">
        <f>Values!C61</f>
        <v>Neodymium</v>
      </c>
      <c r="D61">
        <f>Values!D61</f>
        <v>2.3951615504915565E-25</v>
      </c>
      <c r="E61">
        <f>Values!E61</f>
        <v>2.2899999999999998E-10</v>
      </c>
      <c r="F61">
        <f>ABS(Values!F61)</f>
        <v>0</v>
      </c>
      <c r="G61">
        <f>ABS(Values!G61)</f>
        <v>0</v>
      </c>
      <c r="H61">
        <f>Values!H61</f>
        <v>0</v>
      </c>
      <c r="I61">
        <f>Values!I61</f>
        <v>0</v>
      </c>
      <c r="J61">
        <f>Values!J61</f>
        <v>0</v>
      </c>
    </row>
    <row r="62" spans="1:10" x14ac:dyDescent="0.25">
      <c r="A62">
        <f>Values!A62</f>
        <v>61</v>
      </c>
      <c r="B62" t="str">
        <f>Values!B62</f>
        <v>Pm</v>
      </c>
      <c r="C62" t="str">
        <f>Values!C62</f>
        <v>Promethium</v>
      </c>
      <c r="D62">
        <f>Values!D62</f>
        <v>2.4063329931198753E-25</v>
      </c>
      <c r="E62">
        <f>Values!E62</f>
        <v>2.3600000000000001E-10</v>
      </c>
      <c r="F62">
        <f>ABS(Values!F62)</f>
        <v>0</v>
      </c>
      <c r="G62">
        <f>ABS(Values!G62)</f>
        <v>0</v>
      </c>
      <c r="H62">
        <f>Values!H62</f>
        <v>0</v>
      </c>
      <c r="I62">
        <f>Values!I62</f>
        <v>0</v>
      </c>
      <c r="J62">
        <f>Values!J62</f>
        <v>0</v>
      </c>
    </row>
    <row r="63" spans="1:10" x14ac:dyDescent="0.25">
      <c r="A63">
        <f>Values!A63</f>
        <v>62</v>
      </c>
      <c r="B63" t="str">
        <f>Values!B63</f>
        <v>Sm</v>
      </c>
      <c r="C63" t="str">
        <f>Values!C63</f>
        <v>Samarium</v>
      </c>
      <c r="D63">
        <f>Values!D63</f>
        <v>2.4974507570294654E-25</v>
      </c>
      <c r="E63">
        <f>Values!E63</f>
        <v>2.2899999999999998E-10</v>
      </c>
      <c r="F63">
        <f>ABS(Values!F63)</f>
        <v>0</v>
      </c>
      <c r="G63">
        <f>ABS(Values!G63)</f>
        <v>0</v>
      </c>
      <c r="H63">
        <f>Values!H63</f>
        <v>0</v>
      </c>
      <c r="I63">
        <f>Values!I63</f>
        <v>0</v>
      </c>
      <c r="J63">
        <f>Values!J63</f>
        <v>0</v>
      </c>
    </row>
    <row r="64" spans="1:10" x14ac:dyDescent="0.25">
      <c r="A64">
        <f>Values!A64</f>
        <v>63</v>
      </c>
      <c r="B64" t="str">
        <f>Values!B64</f>
        <v>Eu</v>
      </c>
      <c r="C64" t="str">
        <f>Values!C64</f>
        <v>Europium</v>
      </c>
      <c r="D64">
        <f>Values!D64</f>
        <v>2.5234215880400644E-25</v>
      </c>
      <c r="E64">
        <f>Values!E64</f>
        <v>2.3299999999999997E-10</v>
      </c>
      <c r="F64">
        <f>ABS(Values!F64)</f>
        <v>0</v>
      </c>
      <c r="G64">
        <f>ABS(Values!G64)</f>
        <v>0</v>
      </c>
      <c r="H64">
        <f>Values!H64</f>
        <v>0</v>
      </c>
      <c r="I64">
        <f>Values!I64</f>
        <v>0</v>
      </c>
      <c r="J64">
        <f>Values!J64</f>
        <v>0</v>
      </c>
    </row>
    <row r="65" spans="1:10" x14ac:dyDescent="0.25">
      <c r="A65">
        <f>Values!A65</f>
        <v>64</v>
      </c>
      <c r="B65" t="str">
        <f>Values!B65</f>
        <v>Gd</v>
      </c>
      <c r="C65" t="str">
        <f>Values!C65</f>
        <v>Gadolinium</v>
      </c>
      <c r="D65">
        <f>Values!D65</f>
        <v>2.6111976831308742E-25</v>
      </c>
      <c r="E65">
        <f>Values!E65</f>
        <v>2.3700000000000001E-10</v>
      </c>
      <c r="F65">
        <f>ABS(Values!F65)</f>
        <v>0</v>
      </c>
      <c r="G65">
        <f>ABS(Values!G65)</f>
        <v>0</v>
      </c>
      <c r="H65">
        <f>Values!H65</f>
        <v>0</v>
      </c>
      <c r="I65">
        <f>Values!I65</f>
        <v>0</v>
      </c>
      <c r="J65">
        <f>Values!J65</f>
        <v>0</v>
      </c>
    </row>
    <row r="66" spans="1:10" x14ac:dyDescent="0.25">
      <c r="A66">
        <f>Values!A66</f>
        <v>65</v>
      </c>
      <c r="B66" t="str">
        <f>Values!B66</f>
        <v>Tb</v>
      </c>
      <c r="C66" t="str">
        <f>Values!C66</f>
        <v>Terbium</v>
      </c>
      <c r="D66">
        <f>Values!D66</f>
        <v>2.6390175243927712E-25</v>
      </c>
      <c r="E66">
        <f>Values!E66</f>
        <v>2.2099999999999999E-10</v>
      </c>
      <c r="F66">
        <f>ABS(Values!F66)</f>
        <v>0</v>
      </c>
      <c r="G66">
        <f>ABS(Values!G66)</f>
        <v>0</v>
      </c>
      <c r="H66">
        <f>Values!H66</f>
        <v>0</v>
      </c>
      <c r="I66">
        <f>Values!I66</f>
        <v>0</v>
      </c>
      <c r="J66">
        <f>Values!J66</f>
        <v>0</v>
      </c>
    </row>
    <row r="67" spans="1:10" x14ac:dyDescent="0.25">
      <c r="A67">
        <f>Values!A67</f>
        <v>66</v>
      </c>
      <c r="B67" t="str">
        <f>Values!B67</f>
        <v>Dy</v>
      </c>
      <c r="C67" t="str">
        <f>Values!C67</f>
        <v>Dysprosium</v>
      </c>
      <c r="D67">
        <f>Values!D67</f>
        <v>2.6983759841575012E-25</v>
      </c>
      <c r="E67">
        <f>Values!E67</f>
        <v>2.2899999999999998E-10</v>
      </c>
      <c r="F67">
        <f>ABS(Values!F67)</f>
        <v>0</v>
      </c>
      <c r="G67">
        <f>ABS(Values!G67)</f>
        <v>0</v>
      </c>
      <c r="H67">
        <f>Values!H67</f>
        <v>0</v>
      </c>
      <c r="I67">
        <f>Values!I67</f>
        <v>0</v>
      </c>
      <c r="J67">
        <f>Values!J67</f>
        <v>0</v>
      </c>
    </row>
    <row r="68" spans="1:10" x14ac:dyDescent="0.25">
      <c r="A68">
        <f>Values!A68</f>
        <v>67</v>
      </c>
      <c r="B68" t="str">
        <f>Values!B68</f>
        <v>Ho</v>
      </c>
      <c r="C68" t="str">
        <f>Values!C68</f>
        <v>Holmium</v>
      </c>
      <c r="D68">
        <f>Values!D68</f>
        <v>2.7387325632687471E-25</v>
      </c>
      <c r="E68">
        <f>Values!E68</f>
        <v>2.16E-10</v>
      </c>
      <c r="F68">
        <f>ABS(Values!F68)</f>
        <v>0</v>
      </c>
      <c r="G68">
        <f>ABS(Values!G68)</f>
        <v>0</v>
      </c>
      <c r="H68">
        <f>Values!H68</f>
        <v>0</v>
      </c>
      <c r="I68">
        <f>Values!I68</f>
        <v>0</v>
      </c>
      <c r="J68">
        <f>Values!J68</f>
        <v>0</v>
      </c>
    </row>
    <row r="69" spans="1:10" x14ac:dyDescent="0.25">
      <c r="A69">
        <f>Values!A69</f>
        <v>68</v>
      </c>
      <c r="B69" t="str">
        <f>Values!B69</f>
        <v>Er</v>
      </c>
      <c r="C69" t="str">
        <f>Values!C69</f>
        <v>Erbium</v>
      </c>
      <c r="D69">
        <f>Values!D69</f>
        <v>2.7774176437549759E-25</v>
      </c>
      <c r="E69">
        <f>Values!E69</f>
        <v>2.3500000000000002E-10</v>
      </c>
      <c r="F69">
        <f>ABS(Values!F69)</f>
        <v>0</v>
      </c>
      <c r="G69">
        <f>ABS(Values!G69)</f>
        <v>0</v>
      </c>
      <c r="H69">
        <f>Values!H69</f>
        <v>0</v>
      </c>
      <c r="I69">
        <f>Values!I69</f>
        <v>0</v>
      </c>
      <c r="J69">
        <f>Values!J69</f>
        <v>0</v>
      </c>
    </row>
    <row r="70" spans="1:10" x14ac:dyDescent="0.25">
      <c r="A70">
        <f>Values!A70</f>
        <v>69</v>
      </c>
      <c r="B70" t="str">
        <f>Values!B70</f>
        <v>Tm</v>
      </c>
      <c r="C70" t="str">
        <f>Values!C70</f>
        <v>Thulium</v>
      </c>
      <c r="D70">
        <f>Values!D70</f>
        <v>2.8052187209254143E-25</v>
      </c>
      <c r="E70">
        <f>Values!E70</f>
        <v>2.2699999999999999E-10</v>
      </c>
      <c r="F70">
        <f>ABS(Values!F70)</f>
        <v>0</v>
      </c>
      <c r="G70">
        <f>ABS(Values!G70)</f>
        <v>0</v>
      </c>
      <c r="H70">
        <f>Values!H70</f>
        <v>0</v>
      </c>
      <c r="I70">
        <f>Values!I70</f>
        <v>0</v>
      </c>
      <c r="J70">
        <f>Values!J70</f>
        <v>0</v>
      </c>
    </row>
    <row r="71" spans="1:10" x14ac:dyDescent="0.25">
      <c r="A71">
        <f>Values!A71</f>
        <v>70</v>
      </c>
      <c r="B71" t="str">
        <f>Values!B71</f>
        <v>Yb</v>
      </c>
      <c r="C71" t="str">
        <f>Values!C71</f>
        <v>Ytterbium</v>
      </c>
      <c r="D71">
        <f>Values!D71</f>
        <v>2.8735628557443415E-25</v>
      </c>
      <c r="E71">
        <f>Values!E71</f>
        <v>2.4199999999999999E-10</v>
      </c>
      <c r="F71">
        <f>ABS(Values!F71)</f>
        <v>0</v>
      </c>
      <c r="G71">
        <f>ABS(Values!G71)</f>
        <v>0</v>
      </c>
      <c r="H71">
        <f>Values!H71</f>
        <v>0</v>
      </c>
      <c r="I71">
        <f>Values!I71</f>
        <v>0</v>
      </c>
      <c r="J71">
        <f>Values!J71</f>
        <v>0</v>
      </c>
    </row>
    <row r="72" spans="1:10" x14ac:dyDescent="0.25">
      <c r="A72">
        <f>Values!A72</f>
        <v>71</v>
      </c>
      <c r="B72" t="str">
        <f>Values!B72</f>
        <v>Lu</v>
      </c>
      <c r="C72" t="str">
        <f>Values!C72</f>
        <v>Lutetium</v>
      </c>
      <c r="D72">
        <f>Values!D72</f>
        <v>2.905390408044863E-25</v>
      </c>
      <c r="E72">
        <f>Values!E72</f>
        <v>2.2099999999999999E-10</v>
      </c>
      <c r="F72">
        <f>ABS(Values!F72)</f>
        <v>0</v>
      </c>
      <c r="G72">
        <f>ABS(Values!G72)</f>
        <v>0</v>
      </c>
      <c r="H72">
        <f>Values!H72</f>
        <v>0</v>
      </c>
      <c r="I72">
        <f>Values!I72</f>
        <v>0</v>
      </c>
      <c r="J72">
        <f>Values!J72</f>
        <v>0</v>
      </c>
    </row>
    <row r="73" spans="1:10" x14ac:dyDescent="0.25">
      <c r="A73">
        <f>Values!A73</f>
        <v>72</v>
      </c>
      <c r="B73" t="str">
        <f>Values!B73</f>
        <v>Hf</v>
      </c>
      <c r="C73" t="str">
        <f>Values!C73</f>
        <v>Hafnium</v>
      </c>
      <c r="D73">
        <f>Values!D73</f>
        <v>2.9638961809985993E-25</v>
      </c>
      <c r="E73">
        <f>Values!E73</f>
        <v>2.1199999999999999E-10</v>
      </c>
      <c r="F73">
        <f>ABS(Values!F73)</f>
        <v>4</v>
      </c>
      <c r="G73">
        <f>ABS(Values!G73)</f>
        <v>6.3999999999999996E-19</v>
      </c>
      <c r="H73">
        <f>Values!H73</f>
        <v>2.9638597434577403E-25</v>
      </c>
      <c r="I73">
        <f>Values!I73</f>
        <v>7.1E-11</v>
      </c>
      <c r="J73">
        <f>Values!J73</f>
        <v>1.338318470429252E-12</v>
      </c>
    </row>
    <row r="74" spans="1:10" x14ac:dyDescent="0.25">
      <c r="A74">
        <f>Values!A74</f>
        <v>73</v>
      </c>
      <c r="B74" t="str">
        <f>Values!B74</f>
        <v>Ta</v>
      </c>
      <c r="C74" t="str">
        <f>Values!C74</f>
        <v>Tantalum</v>
      </c>
      <c r="D74">
        <f>Values!D74</f>
        <v>3.0047105707306649E-25</v>
      </c>
      <c r="E74">
        <f>Values!E74</f>
        <v>2.17E-10</v>
      </c>
      <c r="F74">
        <f>ABS(Values!F74)</f>
        <v>3</v>
      </c>
      <c r="G74">
        <f>ABS(Values!G74)</f>
        <v>4.7999999999999995E-19</v>
      </c>
      <c r="H74">
        <f>Values!H74</f>
        <v>3.004683242575021E-25</v>
      </c>
      <c r="I74">
        <f>Values!I74</f>
        <v>7.1999999999999997E-11</v>
      </c>
      <c r="J74">
        <f>Values!J74</f>
        <v>1.3571680263507906E-12</v>
      </c>
    </row>
    <row r="75" spans="1:10" x14ac:dyDescent="0.25">
      <c r="A75">
        <f>Values!A75</f>
        <v>74</v>
      </c>
      <c r="B75" t="str">
        <f>Values!B75</f>
        <v>W</v>
      </c>
      <c r="C75" t="str">
        <f>Values!C75</f>
        <v>Tungsten</v>
      </c>
      <c r="D75">
        <f>Values!D75</f>
        <v>3.0527350210923998E-25</v>
      </c>
      <c r="E75">
        <f>Values!E75</f>
        <v>2.1E-10</v>
      </c>
      <c r="F75">
        <f>ABS(Values!F75)</f>
        <v>4</v>
      </c>
      <c r="G75">
        <f>ABS(Values!G75)</f>
        <v>6.3999999999999996E-19</v>
      </c>
      <c r="H75">
        <f>Values!H75</f>
        <v>3.0526985835515408E-25</v>
      </c>
      <c r="I75">
        <f>Values!I75</f>
        <v>6.6000000000000005E-11</v>
      </c>
      <c r="J75">
        <f>Values!J75</f>
        <v>1.2440706908215583E-12</v>
      </c>
    </row>
    <row r="76" spans="1:10" x14ac:dyDescent="0.25">
      <c r="A76">
        <f>Values!A76</f>
        <v>75</v>
      </c>
      <c r="B76" t="str">
        <f>Values!B76</f>
        <v>Re</v>
      </c>
      <c r="C76" t="str">
        <f>Values!C76</f>
        <v>Rhenium</v>
      </c>
      <c r="D76">
        <f>Values!D76</f>
        <v>3.0920399808124049E-25</v>
      </c>
      <c r="E76">
        <f>Values!E76</f>
        <v>2.17E-10</v>
      </c>
      <c r="F76">
        <f>ABS(Values!F76)</f>
        <v>4</v>
      </c>
      <c r="G76">
        <f>ABS(Values!G76)</f>
        <v>6.3999999999999996E-19</v>
      </c>
      <c r="H76">
        <f>Values!H76</f>
        <v>3.0920035432715459E-25</v>
      </c>
      <c r="I76">
        <f>Values!I76</f>
        <v>6.3000000000000002E-11</v>
      </c>
      <c r="J76">
        <f>Values!J76</f>
        <v>1.1875220230569418E-12</v>
      </c>
    </row>
    <row r="77" spans="1:10" x14ac:dyDescent="0.25">
      <c r="A77">
        <f>Values!A77</f>
        <v>76</v>
      </c>
      <c r="B77" t="str">
        <f>Values!B77</f>
        <v>Os</v>
      </c>
      <c r="C77" t="str">
        <f>Values!C77</f>
        <v>Osmium</v>
      </c>
      <c r="D77">
        <f>Values!D77</f>
        <v>3.1583453057646563E-25</v>
      </c>
      <c r="E77">
        <f>Values!E77</f>
        <v>2.16E-10</v>
      </c>
      <c r="F77">
        <f>ABS(Values!F77)</f>
        <v>4</v>
      </c>
      <c r="G77">
        <f>ABS(Values!G77)</f>
        <v>6.3999999999999996E-19</v>
      </c>
      <c r="H77">
        <f>Values!H77</f>
        <v>3.1583088682237973E-25</v>
      </c>
      <c r="I77">
        <f>Values!I77</f>
        <v>6.3000000000000002E-11</v>
      </c>
      <c r="J77">
        <f>Values!J77</f>
        <v>1.1875220230569418E-12</v>
      </c>
    </row>
    <row r="78" spans="1:10" x14ac:dyDescent="0.25">
      <c r="A78">
        <f>Values!A78</f>
        <v>77</v>
      </c>
      <c r="B78" t="str">
        <f>Values!B78</f>
        <v>Ir</v>
      </c>
      <c r="C78" t="str">
        <f>Values!C78</f>
        <v>Iridium</v>
      </c>
      <c r="D78">
        <f>Values!D78</f>
        <v>3.191888194921568E-25</v>
      </c>
      <c r="E78">
        <f>Values!E78</f>
        <v>2.02E-10</v>
      </c>
      <c r="F78">
        <f>ABS(Values!F78)</f>
        <v>3</v>
      </c>
      <c r="G78">
        <f>ABS(Values!G78)</f>
        <v>4.7999999999999995E-19</v>
      </c>
      <c r="H78">
        <f>Values!H78</f>
        <v>3.1918608667659241E-25</v>
      </c>
      <c r="I78">
        <f>Values!I78</f>
        <v>6.7999999999999998E-11</v>
      </c>
      <c r="J78">
        <f>Values!J78</f>
        <v>1.2817698026646355E-12</v>
      </c>
    </row>
    <row r="79" spans="1:10" x14ac:dyDescent="0.25">
      <c r="A79">
        <f>Values!A79</f>
        <v>78</v>
      </c>
      <c r="B79" t="str">
        <f>Values!B79</f>
        <v>Pt</v>
      </c>
      <c r="C79" t="str">
        <f>Values!C79</f>
        <v>Platinum</v>
      </c>
      <c r="D79">
        <f>Values!D79</f>
        <v>3.2393796122427404E-25</v>
      </c>
      <c r="E79">
        <f>Values!E79</f>
        <v>2.09E-10</v>
      </c>
      <c r="F79">
        <f>ABS(Values!F79)</f>
        <v>2</v>
      </c>
      <c r="G79">
        <f>ABS(Values!G79)</f>
        <v>3.1999999999999998E-19</v>
      </c>
      <c r="H79">
        <f>Values!H79</f>
        <v>3.2393613934723112E-25</v>
      </c>
      <c r="I79">
        <f>Values!I79</f>
        <v>7.9999999999999995E-11</v>
      </c>
      <c r="J79">
        <f>Values!J79</f>
        <v>1.5079644737231006E-12</v>
      </c>
    </row>
    <row r="80" spans="1:10" x14ac:dyDescent="0.25">
      <c r="A80">
        <f>Values!A80</f>
        <v>79</v>
      </c>
      <c r="B80" t="str">
        <f>Values!B80</f>
        <v>Au</v>
      </c>
      <c r="C80" t="str">
        <f>Values!C80</f>
        <v>Gold</v>
      </c>
      <c r="D80">
        <f>Values!D80</f>
        <v>3.2707068441223213E-25</v>
      </c>
      <c r="E80">
        <f>Values!E80</f>
        <v>1.66E-10</v>
      </c>
      <c r="F80">
        <f>ABS(Values!F80)</f>
        <v>1</v>
      </c>
      <c r="G80">
        <f>ABS(Values!G80)</f>
        <v>1.5999999999999999E-19</v>
      </c>
      <c r="H80">
        <f>Values!H80</f>
        <v>3.2706977347371066E-25</v>
      </c>
      <c r="I80">
        <f>Values!I80</f>
        <v>1.3699999999999999E-10</v>
      </c>
      <c r="J80">
        <f>Values!J80</f>
        <v>2.5823891612508096E-12</v>
      </c>
    </row>
    <row r="81" spans="1:10" x14ac:dyDescent="0.25">
      <c r="A81">
        <f>Values!A81</f>
        <v>80</v>
      </c>
      <c r="B81" t="str">
        <f>Values!B81</f>
        <v>Hg</v>
      </c>
      <c r="C81" t="str">
        <f>Values!C81</f>
        <v>Mercury</v>
      </c>
      <c r="D81">
        <f>Values!D81</f>
        <v>3.330875314844019E-25</v>
      </c>
      <c r="E81">
        <f>Values!E81</f>
        <v>2.09E-10</v>
      </c>
      <c r="F81">
        <f>ABS(Values!F81)</f>
        <v>2</v>
      </c>
      <c r="G81">
        <f>ABS(Values!G81)</f>
        <v>3.1999999999999998E-19</v>
      </c>
      <c r="H81">
        <f>Values!H81</f>
        <v>3.3308570960735897E-25</v>
      </c>
      <c r="I81">
        <f>Values!I81</f>
        <v>1.02E-10</v>
      </c>
      <c r="J81">
        <f>Values!J81</f>
        <v>1.9226547039969533E-12</v>
      </c>
    </row>
    <row r="82" spans="1:10" x14ac:dyDescent="0.25">
      <c r="A82">
        <f>Values!A82</f>
        <v>81</v>
      </c>
      <c r="B82" t="str">
        <f>Values!B82</f>
        <v>Tl</v>
      </c>
      <c r="C82" t="str">
        <f>Values!C82</f>
        <v>Thallium</v>
      </c>
      <c r="D82">
        <f>Values!D82</f>
        <v>3.3938595616619233E-25</v>
      </c>
      <c r="E82">
        <f>Values!E82</f>
        <v>1.96E-10</v>
      </c>
      <c r="F82">
        <f>ABS(Values!F82)</f>
        <v>3</v>
      </c>
      <c r="G82">
        <f>ABS(Values!G82)</f>
        <v>4.7999999999999995E-19</v>
      </c>
      <c r="H82">
        <f>Values!H82</f>
        <v>3.3938322335062794E-25</v>
      </c>
      <c r="I82">
        <f>Values!I82</f>
        <v>8.8500000000000005E-11</v>
      </c>
      <c r="J82">
        <f>Values!J82</f>
        <v>1.6681856990561802E-12</v>
      </c>
    </row>
    <row r="83" spans="1:10" x14ac:dyDescent="0.25">
      <c r="A83">
        <f>Values!A83</f>
        <v>82</v>
      </c>
      <c r="B83" t="str">
        <f>Values!B83</f>
        <v>Pb</v>
      </c>
      <c r="C83" t="str">
        <f>Values!C83</f>
        <v>Lead</v>
      </c>
      <c r="D83">
        <f>Values!D83</f>
        <v>3.4373158690498622E-25</v>
      </c>
      <c r="E83">
        <f>Values!E83</f>
        <v>2.02E-10</v>
      </c>
      <c r="F83">
        <f>ABS(Values!F83)</f>
        <v>4</v>
      </c>
      <c r="G83">
        <f>ABS(Values!G83)</f>
        <v>6.3999999999999996E-19</v>
      </c>
      <c r="H83">
        <f>Values!H83</f>
        <v>3.4372794315090032E-25</v>
      </c>
      <c r="I83">
        <f>Values!I83</f>
        <v>7.7500000000000004E-11</v>
      </c>
      <c r="J83">
        <f>Values!J83</f>
        <v>1.4608405839192539E-12</v>
      </c>
    </row>
    <row r="84" spans="1:10" x14ac:dyDescent="0.25">
      <c r="A84">
        <f>Values!A84</f>
        <v>83</v>
      </c>
      <c r="B84" t="str">
        <f>Values!B84</f>
        <v>Bi</v>
      </c>
      <c r="C84" t="str">
        <f>Values!C84</f>
        <v>Bismuth</v>
      </c>
      <c r="D84">
        <f>Values!D84</f>
        <v>3.4702011847361732E-25</v>
      </c>
      <c r="E84">
        <f>Values!E84</f>
        <v>2.0699999999999998E-10</v>
      </c>
      <c r="F84">
        <f>ABS(Values!F84)</f>
        <v>3</v>
      </c>
      <c r="G84">
        <f>ABS(Values!G84)</f>
        <v>4.7999999999999995E-19</v>
      </c>
      <c r="H84">
        <f>Values!H84</f>
        <v>3.4701738565805293E-25</v>
      </c>
      <c r="I84">
        <f>Values!I84</f>
        <v>1.0299999999999999E-10</v>
      </c>
      <c r="J84">
        <f>Values!J84</f>
        <v>1.9415042599184919E-12</v>
      </c>
    </row>
    <row r="85" spans="1:10" x14ac:dyDescent="0.25">
      <c r="A85">
        <f>Values!A85</f>
        <v>84</v>
      </c>
      <c r="B85" t="str">
        <f>Values!B85</f>
        <v>Po</v>
      </c>
      <c r="C85" t="str">
        <f>Values!C85</f>
        <v>Polonium</v>
      </c>
      <c r="D85">
        <f>Values!D85</f>
        <v>3.4702348936792371E-25</v>
      </c>
      <c r="E85">
        <f>Values!E85</f>
        <v>1.9699999999999999E-10</v>
      </c>
      <c r="F85">
        <f>ABS(Values!F85)</f>
        <v>0</v>
      </c>
      <c r="G85">
        <f>ABS(Values!G85)</f>
        <v>0</v>
      </c>
      <c r="H85">
        <f>Values!H85</f>
        <v>0</v>
      </c>
      <c r="I85">
        <f>Values!I85</f>
        <v>0</v>
      </c>
      <c r="J85">
        <f>Values!J85</f>
        <v>0</v>
      </c>
    </row>
    <row r="86" spans="1:10" x14ac:dyDescent="0.25">
      <c r="A86">
        <f>Values!A86</f>
        <v>85</v>
      </c>
      <c r="B86" t="str">
        <f>Values!B86</f>
        <v>At</v>
      </c>
      <c r="C86" t="str">
        <f>Values!C86</f>
        <v>Astatine</v>
      </c>
      <c r="D86">
        <f>Values!D86</f>
        <v>3.4869186617949462E-25</v>
      </c>
      <c r="E86">
        <f>Values!E86</f>
        <v>2.02E-10</v>
      </c>
      <c r="F86">
        <f>ABS(Values!F86)</f>
        <v>0</v>
      </c>
      <c r="G86">
        <f>ABS(Values!G86)</f>
        <v>0</v>
      </c>
      <c r="H86">
        <f>Values!H86</f>
        <v>0</v>
      </c>
      <c r="I86">
        <f>Values!I86</f>
        <v>0</v>
      </c>
      <c r="J86">
        <f>Values!J86</f>
        <v>0</v>
      </c>
    </row>
    <row r="87" spans="1:10" x14ac:dyDescent="0.25">
      <c r="A87">
        <f>Values!A87</f>
        <v>86</v>
      </c>
      <c r="B87" t="str">
        <f>Values!B87</f>
        <v>Rn</v>
      </c>
      <c r="C87" t="str">
        <f>Values!C87</f>
        <v>Radon</v>
      </c>
      <c r="D87">
        <f>Values!D87</f>
        <v>3.6866886518939494E-25</v>
      </c>
      <c r="E87">
        <f>Values!E87</f>
        <v>2.1999999999999999E-10</v>
      </c>
      <c r="F87">
        <f>ABS(Values!F87)</f>
        <v>0</v>
      </c>
      <c r="G87">
        <f>ABS(Values!G87)</f>
        <v>0</v>
      </c>
      <c r="H87">
        <f>Values!H87</f>
        <v>0</v>
      </c>
      <c r="I87">
        <f>Values!I87</f>
        <v>0</v>
      </c>
      <c r="J87">
        <f>Values!J87</f>
        <v>0</v>
      </c>
    </row>
    <row r="88" spans="1:10" x14ac:dyDescent="0.25">
      <c r="A88">
        <f>Values!A88</f>
        <v>87</v>
      </c>
      <c r="B88" t="str">
        <f>Values!B88</f>
        <v>Fr</v>
      </c>
      <c r="C88" t="str">
        <f>Values!C88</f>
        <v>Francium</v>
      </c>
      <c r="D88">
        <f>Values!D88</f>
        <v>3.7033297441556318E-25</v>
      </c>
      <c r="E88">
        <f>Values!E88</f>
        <v>3.4799999999999999E-10</v>
      </c>
      <c r="F88">
        <f>ABS(Values!F88)</f>
        <v>0</v>
      </c>
      <c r="G88">
        <f>ABS(Values!G88)</f>
        <v>0</v>
      </c>
      <c r="H88">
        <f>Values!H88</f>
        <v>0</v>
      </c>
      <c r="I88">
        <f>Values!I88</f>
        <v>0</v>
      </c>
      <c r="J88">
        <f>Values!J88</f>
        <v>0</v>
      </c>
    </row>
    <row r="89" spans="1:10" x14ac:dyDescent="0.25">
      <c r="A89">
        <f>Values!A89</f>
        <v>88</v>
      </c>
      <c r="B89" t="str">
        <f>Values!B89</f>
        <v>Ra</v>
      </c>
      <c r="C89" t="str">
        <f>Values!C89</f>
        <v>Radium</v>
      </c>
      <c r="D89">
        <f>Values!D89</f>
        <v>3.7532402347898622E-25</v>
      </c>
      <c r="E89">
        <f>Values!E89</f>
        <v>2.8300000000000001E-10</v>
      </c>
      <c r="F89">
        <f>ABS(Values!F89)</f>
        <v>0</v>
      </c>
      <c r="G89">
        <f>ABS(Values!G89)</f>
        <v>0</v>
      </c>
      <c r="H89">
        <f>Values!H89</f>
        <v>0</v>
      </c>
      <c r="I89">
        <f>Values!I89</f>
        <v>0</v>
      </c>
      <c r="J89">
        <f>Values!J89</f>
        <v>0</v>
      </c>
    </row>
    <row r="90" spans="1:10" x14ac:dyDescent="0.25">
      <c r="A90">
        <f>Values!A90</f>
        <v>89</v>
      </c>
      <c r="B90" t="str">
        <f>Values!B90</f>
        <v>Ac</v>
      </c>
      <c r="C90" t="str">
        <f>Values!C90</f>
        <v>Actinium</v>
      </c>
      <c r="D90">
        <f>Values!D90</f>
        <v>3.7698844820757727E-25</v>
      </c>
      <c r="E90">
        <f>Values!E90</f>
        <v>2.5999999999999998E-10</v>
      </c>
      <c r="F90">
        <f>ABS(Values!F90)</f>
        <v>0</v>
      </c>
      <c r="G90">
        <f>ABS(Values!G90)</f>
        <v>0</v>
      </c>
      <c r="H90">
        <f>Values!H90</f>
        <v>0</v>
      </c>
      <c r="I90">
        <f>Values!I90</f>
        <v>0</v>
      </c>
      <c r="J90">
        <f>Values!J90</f>
        <v>0</v>
      </c>
    </row>
    <row r="91" spans="1:10" x14ac:dyDescent="0.25">
      <c r="A91">
        <f>Values!A91</f>
        <v>90</v>
      </c>
      <c r="B91" t="str">
        <f>Values!B91</f>
        <v>Th</v>
      </c>
      <c r="C91" t="str">
        <f>Values!C91</f>
        <v>Thorium</v>
      </c>
      <c r="D91">
        <f>Values!D91</f>
        <v>3.8530816406888505E-25</v>
      </c>
      <c r="E91">
        <f>Values!E91</f>
        <v>2.3700000000000001E-10</v>
      </c>
      <c r="F91">
        <f>ABS(Values!F91)</f>
        <v>0</v>
      </c>
      <c r="G91">
        <f>ABS(Values!G91)</f>
        <v>0</v>
      </c>
      <c r="H91">
        <f>Values!H91</f>
        <v>0</v>
      </c>
      <c r="I91">
        <f>Values!I91</f>
        <v>0</v>
      </c>
      <c r="J91">
        <f>Values!J91</f>
        <v>0</v>
      </c>
    </row>
    <row r="92" spans="1:10" x14ac:dyDescent="0.25">
      <c r="A92">
        <f>Values!A92</f>
        <v>91</v>
      </c>
      <c r="B92" t="str">
        <f>Values!B92</f>
        <v>Pa</v>
      </c>
      <c r="C92" t="str">
        <f>Values!C92</f>
        <v>Protactinium</v>
      </c>
      <c r="D92">
        <f>Values!D92</f>
        <v>3.8364410465888877E-25</v>
      </c>
      <c r="E92">
        <f>Values!E92</f>
        <v>2.4299999999999999E-10</v>
      </c>
      <c r="F92">
        <f>ABS(Values!F92)</f>
        <v>0</v>
      </c>
      <c r="G92">
        <f>ABS(Values!G92)</f>
        <v>0</v>
      </c>
      <c r="H92">
        <f>Values!H92</f>
        <v>0</v>
      </c>
      <c r="I92">
        <f>Values!I92</f>
        <v>0</v>
      </c>
      <c r="J92">
        <f>Values!J92</f>
        <v>0</v>
      </c>
    </row>
    <row r="93" spans="1:10" x14ac:dyDescent="0.25">
      <c r="A93">
        <f>Values!A93</f>
        <v>92</v>
      </c>
      <c r="B93" t="str">
        <f>Values!B93</f>
        <v>U</v>
      </c>
      <c r="C93" t="str">
        <f>Values!C93</f>
        <v>Uranium</v>
      </c>
      <c r="D93">
        <f>Values!D93</f>
        <v>3.9525628756641684E-25</v>
      </c>
      <c r="E93">
        <f>Values!E93</f>
        <v>2.4E-10</v>
      </c>
      <c r="F93">
        <f>ABS(Values!F93)</f>
        <v>0</v>
      </c>
      <c r="G93">
        <f>ABS(Values!G93)</f>
        <v>0</v>
      </c>
      <c r="H93">
        <f>Values!H93</f>
        <v>0</v>
      </c>
      <c r="I93">
        <f>Values!I93</f>
        <v>0</v>
      </c>
      <c r="J93">
        <f>Values!J93</f>
        <v>0</v>
      </c>
    </row>
    <row r="94" spans="1:10" x14ac:dyDescent="0.25">
      <c r="A94">
        <f>Values!A94</f>
        <v>93</v>
      </c>
      <c r="B94" t="str">
        <f>Values!B94</f>
        <v>Np</v>
      </c>
      <c r="C94" t="str">
        <f>Values!C94</f>
        <v>Neptunium</v>
      </c>
      <c r="D94">
        <f>Values!D94</f>
        <v>3.9362775040814556E-25</v>
      </c>
      <c r="E94">
        <f>Values!E94</f>
        <v>2.2099999999999999E-10</v>
      </c>
      <c r="F94">
        <f>ABS(Values!F94)</f>
        <v>0</v>
      </c>
      <c r="G94">
        <f>ABS(Values!G94)</f>
        <v>0</v>
      </c>
      <c r="H94">
        <f>Values!H94</f>
        <v>0</v>
      </c>
      <c r="I94">
        <f>Values!I94</f>
        <v>0</v>
      </c>
      <c r="J94">
        <f>Values!J94</f>
        <v>0</v>
      </c>
    </row>
    <row r="95" spans="1:10" x14ac:dyDescent="0.25">
      <c r="A95">
        <f>Values!A95</f>
        <v>94</v>
      </c>
      <c r="B95" t="str">
        <f>Values!B95</f>
        <v>Pu</v>
      </c>
      <c r="C95" t="str">
        <f>Values!C95</f>
        <v>Plutonium</v>
      </c>
      <c r="D95">
        <f>Values!D95</f>
        <v>4.0527813899853116E-25</v>
      </c>
      <c r="E95">
        <f>Values!E95</f>
        <v>2.4299999999999999E-10</v>
      </c>
      <c r="F95">
        <f>ABS(Values!F95)</f>
        <v>0</v>
      </c>
      <c r="G95">
        <f>ABS(Values!G95)</f>
        <v>0</v>
      </c>
      <c r="H95">
        <f>Values!H95</f>
        <v>0</v>
      </c>
      <c r="I95">
        <f>Values!I95</f>
        <v>0</v>
      </c>
      <c r="J95">
        <f>Values!J95</f>
        <v>0</v>
      </c>
    </row>
    <row r="96" spans="1:10" x14ac:dyDescent="0.25">
      <c r="A96">
        <f>Values!A96</f>
        <v>95</v>
      </c>
      <c r="B96" t="str">
        <f>Values!B96</f>
        <v>Am</v>
      </c>
      <c r="C96" t="str">
        <f>Values!C96</f>
        <v>Americium</v>
      </c>
      <c r="D96">
        <f>Values!D96</f>
        <v>4.0361291721118794E-25</v>
      </c>
      <c r="E96">
        <f>Values!E96</f>
        <v>2.4399999999999998E-10</v>
      </c>
      <c r="F96">
        <f>ABS(Values!F96)</f>
        <v>0</v>
      </c>
      <c r="G96">
        <f>ABS(Values!G96)</f>
        <v>0</v>
      </c>
      <c r="H96">
        <f>Values!H96</f>
        <v>0</v>
      </c>
      <c r="I96">
        <f>Values!I96</f>
        <v>0</v>
      </c>
      <c r="J96">
        <f>Values!J96</f>
        <v>0</v>
      </c>
    </row>
    <row r="97" spans="1:10" x14ac:dyDescent="0.25">
      <c r="A97">
        <f>Values!A97</f>
        <v>96</v>
      </c>
      <c r="B97" t="str">
        <f>Values!B97</f>
        <v>Cm</v>
      </c>
      <c r="C97" t="str">
        <f>Values!C97</f>
        <v>Curium</v>
      </c>
      <c r="D97">
        <f>Values!D97</f>
        <v>4.102699685153158E-25</v>
      </c>
      <c r="E97">
        <f>Values!E97</f>
        <v>2.4499999999999998E-10</v>
      </c>
      <c r="F97">
        <f>ABS(Values!F97)</f>
        <v>0</v>
      </c>
      <c r="G97">
        <f>ABS(Values!G97)</f>
        <v>0</v>
      </c>
      <c r="H97">
        <f>Values!H97</f>
        <v>0</v>
      </c>
      <c r="I97">
        <f>Values!I97</f>
        <v>0</v>
      </c>
      <c r="J97">
        <f>Values!J97</f>
        <v>0</v>
      </c>
    </row>
    <row r="98" spans="1:10" x14ac:dyDescent="0.25">
      <c r="A98">
        <f>Values!A98</f>
        <v>97</v>
      </c>
      <c r="B98" t="str">
        <f>Values!B98</f>
        <v>Bk</v>
      </c>
      <c r="C98" t="str">
        <f>Values!C98</f>
        <v>Berkelium</v>
      </c>
      <c r="D98">
        <f>Values!D98</f>
        <v>4.1026990209375312E-25</v>
      </c>
      <c r="E98">
        <f>Values!E98</f>
        <v>2.4399999999999998E-10</v>
      </c>
      <c r="F98">
        <f>ABS(Values!F98)</f>
        <v>0</v>
      </c>
      <c r="G98">
        <f>ABS(Values!G98)</f>
        <v>0</v>
      </c>
      <c r="H98">
        <f>Values!H98</f>
        <v>0</v>
      </c>
      <c r="I98">
        <f>Values!I98</f>
        <v>0</v>
      </c>
      <c r="J98">
        <f>Values!J98</f>
        <v>0</v>
      </c>
    </row>
    <row r="99" spans="1:10" x14ac:dyDescent="0.25">
      <c r="A99">
        <f>Values!A99</f>
        <v>98</v>
      </c>
      <c r="B99" t="str">
        <f>Values!B99</f>
        <v>Cf</v>
      </c>
      <c r="C99" t="str">
        <f>Values!C99</f>
        <v>Californium</v>
      </c>
      <c r="D99">
        <f>Values!D99</f>
        <v>4.1692746816499188E-25</v>
      </c>
      <c r="E99">
        <f>Values!E99</f>
        <v>2.4499999999999998E-10</v>
      </c>
      <c r="F99">
        <f>ABS(Values!F99)</f>
        <v>0</v>
      </c>
      <c r="G99">
        <f>ABS(Values!G99)</f>
        <v>0</v>
      </c>
      <c r="H99">
        <f>Values!H99</f>
        <v>0</v>
      </c>
      <c r="I99">
        <f>Values!I99</f>
        <v>0</v>
      </c>
      <c r="J99">
        <f>Values!J99</f>
        <v>0</v>
      </c>
    </row>
    <row r="100" spans="1:10" x14ac:dyDescent="0.25">
      <c r="A100">
        <f>Values!A100</f>
        <v>99</v>
      </c>
      <c r="B100" t="str">
        <f>Values!B100</f>
        <v>Es</v>
      </c>
      <c r="C100" t="str">
        <f>Values!C100</f>
        <v>Einsteinium</v>
      </c>
      <c r="D100">
        <f>Values!D100</f>
        <v>4.1859366967038474E-25</v>
      </c>
      <c r="E100">
        <f>Values!E100</f>
        <v>2.4499999999999998E-10</v>
      </c>
      <c r="F100">
        <f>ABS(Values!F100)</f>
        <v>0</v>
      </c>
      <c r="G100">
        <f>ABS(Values!G100)</f>
        <v>0</v>
      </c>
      <c r="H100">
        <f>Values!H100</f>
        <v>0</v>
      </c>
      <c r="I100">
        <f>Values!I100</f>
        <v>0</v>
      </c>
      <c r="J100">
        <f>Values!J100</f>
        <v>0</v>
      </c>
    </row>
    <row r="101" spans="1:10" x14ac:dyDescent="0.25">
      <c r="A101">
        <f>Values!A101</f>
        <v>100</v>
      </c>
      <c r="B101" t="str">
        <f>Values!B101</f>
        <v>Fm</v>
      </c>
      <c r="C101" t="str">
        <f>Values!C101</f>
        <v>Fermium</v>
      </c>
      <c r="D101">
        <f>Values!D101</f>
        <v>4.2691647413435752E-25</v>
      </c>
      <c r="E101">
        <f>Values!E101</f>
        <v>0</v>
      </c>
      <c r="F101">
        <f>ABS(Values!F101)</f>
        <v>0</v>
      </c>
      <c r="G101">
        <f>ABS(Values!G101)</f>
        <v>0</v>
      </c>
      <c r="H101">
        <f>Values!H101</f>
        <v>0</v>
      </c>
      <c r="I101">
        <f>Values!I101</f>
        <v>0</v>
      </c>
      <c r="J101">
        <f>Values!J101</f>
        <v>0</v>
      </c>
    </row>
    <row r="102" spans="1:10" x14ac:dyDescent="0.25">
      <c r="A102">
        <f>Values!A102</f>
        <v>101</v>
      </c>
      <c r="B102" t="str">
        <f>Values!B102</f>
        <v>Md</v>
      </c>
      <c r="C102" t="str">
        <f>Values!C102</f>
        <v>Mendelevium</v>
      </c>
      <c r="D102">
        <f>Values!D102</f>
        <v>4.285825261912344E-25</v>
      </c>
      <c r="E102">
        <f>Values!E102</f>
        <v>0</v>
      </c>
      <c r="F102">
        <f>ABS(Values!F102)</f>
        <v>0</v>
      </c>
      <c r="G102">
        <f>ABS(Values!G102)</f>
        <v>0</v>
      </c>
      <c r="H102">
        <f>Values!H102</f>
        <v>0</v>
      </c>
      <c r="I102">
        <f>Values!I102</f>
        <v>0</v>
      </c>
      <c r="J102">
        <f>Values!J102</f>
        <v>0</v>
      </c>
    </row>
    <row r="103" spans="1:10" x14ac:dyDescent="0.25">
      <c r="A103">
        <f>Values!A103</f>
        <v>102</v>
      </c>
      <c r="B103" t="str">
        <f>Values!B103</f>
        <v>No</v>
      </c>
      <c r="C103" t="str">
        <f>Values!C103</f>
        <v>Nobelium</v>
      </c>
      <c r="D103">
        <f>Values!D103</f>
        <v>4.3024733284381085E-25</v>
      </c>
      <c r="E103">
        <f>Values!E103</f>
        <v>0</v>
      </c>
      <c r="F103">
        <f>ABS(Values!F103)</f>
        <v>0</v>
      </c>
      <c r="G103">
        <f>ABS(Values!G103)</f>
        <v>0</v>
      </c>
      <c r="H103">
        <f>Values!H103</f>
        <v>0</v>
      </c>
      <c r="I103">
        <f>Values!I103</f>
        <v>0</v>
      </c>
      <c r="J103">
        <f>Values!J103</f>
        <v>0</v>
      </c>
    </row>
    <row r="104" spans="1:10" x14ac:dyDescent="0.25">
      <c r="A104">
        <f>Values!A104</f>
        <v>103</v>
      </c>
      <c r="B104" t="str">
        <f>Values!B104</f>
        <v>Lr</v>
      </c>
      <c r="C104" t="str">
        <f>Values!C104</f>
        <v>Lawrencium</v>
      </c>
      <c r="D104">
        <f>Values!D104</f>
        <v>4.4190265655630408E-25</v>
      </c>
      <c r="E104">
        <f>Values!E104</f>
        <v>0</v>
      </c>
      <c r="F104">
        <f>ABS(Values!F104)</f>
        <v>0</v>
      </c>
      <c r="G104">
        <f>ABS(Values!G104)</f>
        <v>0</v>
      </c>
      <c r="H104">
        <f>Values!H104</f>
        <v>0</v>
      </c>
      <c r="I104">
        <f>Values!I104</f>
        <v>0</v>
      </c>
      <c r="J104">
        <f>Values!J104</f>
        <v>0</v>
      </c>
    </row>
    <row r="105" spans="1:10" x14ac:dyDescent="0.25">
      <c r="A105">
        <f>Values!A105</f>
        <v>104</v>
      </c>
      <c r="B105" t="str">
        <f>Values!B105</f>
        <v>Rf</v>
      </c>
      <c r="C105" t="str">
        <f>Values!C105</f>
        <v>Rutherfordium</v>
      </c>
      <c r="D105">
        <f>Values!D105</f>
        <v>4.4356651670161224E-25</v>
      </c>
      <c r="E105">
        <f>Values!E105</f>
        <v>0</v>
      </c>
      <c r="F105">
        <f>ABS(Values!F105)</f>
        <v>0</v>
      </c>
      <c r="G105">
        <f>ABS(Values!G105)</f>
        <v>0</v>
      </c>
      <c r="H105">
        <f>Values!H105</f>
        <v>0</v>
      </c>
      <c r="I105">
        <f>Values!I105</f>
        <v>0</v>
      </c>
      <c r="J105">
        <f>Values!J105</f>
        <v>0</v>
      </c>
    </row>
    <row r="106" spans="1:10" x14ac:dyDescent="0.25">
      <c r="A106">
        <f>Values!A106</f>
        <v>105</v>
      </c>
      <c r="B106" t="str">
        <f>Values!B106</f>
        <v>Db</v>
      </c>
      <c r="C106" t="str">
        <f>Values!C106</f>
        <v>Dubnium</v>
      </c>
      <c r="D106">
        <f>Values!D106</f>
        <v>4.4523369792505482E-25</v>
      </c>
      <c r="E106">
        <f>Values!E106</f>
        <v>0</v>
      </c>
      <c r="F106">
        <f>ABS(Values!F106)</f>
        <v>0</v>
      </c>
      <c r="G106">
        <f>ABS(Values!G106)</f>
        <v>0</v>
      </c>
      <c r="H106">
        <f>Values!H106</f>
        <v>0</v>
      </c>
      <c r="I106">
        <f>Values!I106</f>
        <v>0</v>
      </c>
      <c r="J106">
        <f>Values!J106</f>
        <v>0</v>
      </c>
    </row>
    <row r="107" spans="1:10" x14ac:dyDescent="0.25">
      <c r="A107">
        <f>Values!A107</f>
        <v>106</v>
      </c>
      <c r="B107" t="str">
        <f>Values!B107</f>
        <v>Sg</v>
      </c>
      <c r="C107" t="str">
        <f>Values!C107</f>
        <v>Seaborgium</v>
      </c>
      <c r="D107">
        <f>Values!D107</f>
        <v>4.4689755807036297E-25</v>
      </c>
      <c r="E107">
        <f>Values!E107</f>
        <v>0</v>
      </c>
      <c r="F107">
        <f>ABS(Values!F107)</f>
        <v>0</v>
      </c>
      <c r="G107">
        <f>ABS(Values!G107)</f>
        <v>0</v>
      </c>
      <c r="H107">
        <f>Values!H107</f>
        <v>0</v>
      </c>
      <c r="I107">
        <f>Values!I107</f>
        <v>0</v>
      </c>
      <c r="J107">
        <f>Values!J107</f>
        <v>0</v>
      </c>
    </row>
    <row r="108" spans="1:10" x14ac:dyDescent="0.25">
      <c r="A108">
        <f>Values!A108</f>
        <v>107</v>
      </c>
      <c r="B108" t="str">
        <f>Values!B108</f>
        <v>Bh</v>
      </c>
      <c r="C108" t="str">
        <f>Values!C108</f>
        <v>Bohrium</v>
      </c>
      <c r="D108">
        <f>Values!D108</f>
        <v>4.4856639983287267E-25</v>
      </c>
      <c r="E108">
        <f>Values!E108</f>
        <v>0</v>
      </c>
      <c r="F108">
        <f>ABS(Values!F108)</f>
        <v>0</v>
      </c>
      <c r="G108">
        <f>ABS(Values!G108)</f>
        <v>0</v>
      </c>
      <c r="H108">
        <f>Values!H108</f>
        <v>0</v>
      </c>
      <c r="I108">
        <f>Values!I108</f>
        <v>0</v>
      </c>
      <c r="J108">
        <f>Values!J108</f>
        <v>0</v>
      </c>
    </row>
    <row r="109" spans="1:10" x14ac:dyDescent="0.25">
      <c r="A109">
        <f>Values!A109</f>
        <v>108</v>
      </c>
      <c r="B109" t="str">
        <f>Values!B109</f>
        <v>Hs</v>
      </c>
      <c r="C109" t="str">
        <f>Values!C109</f>
        <v>Hassium</v>
      </c>
      <c r="D109">
        <f>Values!D109</f>
        <v>4.4690685708913911E-25</v>
      </c>
      <c r="E109">
        <f>Values!E109</f>
        <v>0</v>
      </c>
      <c r="F109">
        <f>ABS(Values!F109)</f>
        <v>0</v>
      </c>
      <c r="G109">
        <f>ABS(Values!G109)</f>
        <v>0</v>
      </c>
      <c r="H109">
        <f>Values!H109</f>
        <v>0</v>
      </c>
      <c r="I109">
        <f>Values!I109</f>
        <v>0</v>
      </c>
      <c r="J109">
        <f>Values!J109</f>
        <v>0</v>
      </c>
    </row>
    <row r="110" spans="1:10" x14ac:dyDescent="0.25">
      <c r="A110">
        <f>Values!A110</f>
        <v>109</v>
      </c>
      <c r="B110" t="str">
        <f>Values!B110</f>
        <v>Mt</v>
      </c>
      <c r="C110" t="str">
        <f>Values!C110</f>
        <v>Meitnerium</v>
      </c>
      <c r="D110">
        <f>Values!D110</f>
        <v>4.6022504462350024E-25</v>
      </c>
      <c r="E110">
        <f>Values!E110</f>
        <v>0</v>
      </c>
      <c r="F110">
        <f>ABS(Values!F110)</f>
        <v>0</v>
      </c>
      <c r="G110">
        <f>ABS(Values!G110)</f>
        <v>0</v>
      </c>
      <c r="H110">
        <f>Values!H110</f>
        <v>0</v>
      </c>
      <c r="I110">
        <f>Values!I110</f>
        <v>0</v>
      </c>
      <c r="J110">
        <f>Values!J110</f>
        <v>0</v>
      </c>
    </row>
    <row r="111" spans="1:10" x14ac:dyDescent="0.25">
      <c r="A111">
        <f>Values!A111</f>
        <v>110</v>
      </c>
      <c r="B111" t="str">
        <f>Values!B111</f>
        <v>Ds</v>
      </c>
      <c r="C111" t="str">
        <f>Values!C111</f>
        <v>Darmstadtium</v>
      </c>
      <c r="D111">
        <f>Values!D111</f>
        <v>4.6854766642817562E-25</v>
      </c>
      <c r="E111">
        <f>Values!E111</f>
        <v>0</v>
      </c>
      <c r="F111">
        <f>ABS(Values!F111)</f>
        <v>0</v>
      </c>
      <c r="G111">
        <f>ABS(Values!G111)</f>
        <v>0</v>
      </c>
      <c r="H111">
        <f>Values!H111</f>
        <v>0</v>
      </c>
      <c r="I111">
        <f>Values!I111</f>
        <v>0</v>
      </c>
      <c r="J111">
        <f>Values!J111</f>
        <v>0</v>
      </c>
    </row>
    <row r="112" spans="1:10" x14ac:dyDescent="0.25">
      <c r="A112">
        <f>Values!A112</f>
        <v>111</v>
      </c>
      <c r="B112" t="str">
        <f>Values!B112</f>
        <v>Rg</v>
      </c>
      <c r="C112" t="str">
        <f>Values!C112</f>
        <v>Roentgenium</v>
      </c>
      <c r="D112">
        <f>Values!D112</f>
        <v>4.6855264804537717E-25</v>
      </c>
      <c r="E112">
        <f>Values!E112</f>
        <v>0</v>
      </c>
      <c r="F112">
        <f>ABS(Values!F112)</f>
        <v>0</v>
      </c>
      <c r="G112">
        <f>ABS(Values!G112)</f>
        <v>0</v>
      </c>
      <c r="H112">
        <f>Values!H112</f>
        <v>0</v>
      </c>
      <c r="I112">
        <f>Values!I112</f>
        <v>0</v>
      </c>
      <c r="J112">
        <f>Values!J112</f>
        <v>0</v>
      </c>
    </row>
    <row r="113" spans="1:10" x14ac:dyDescent="0.25">
      <c r="A113">
        <f>Values!A113</f>
        <v>112</v>
      </c>
      <c r="B113" t="str">
        <f>Values!B113</f>
        <v>Cn</v>
      </c>
      <c r="C113" t="str">
        <f>Values!C113</f>
        <v>Copernicium</v>
      </c>
      <c r="D113">
        <f>Values!D113</f>
        <v>4.752114097047443E-25</v>
      </c>
      <c r="E113">
        <f>Values!E113</f>
        <v>0</v>
      </c>
      <c r="F113">
        <f>ABS(Values!F113)</f>
        <v>0</v>
      </c>
      <c r="G113">
        <f>ABS(Values!G113)</f>
        <v>0</v>
      </c>
      <c r="H113">
        <f>Values!H113</f>
        <v>0</v>
      </c>
      <c r="I113">
        <f>Values!I113</f>
        <v>0</v>
      </c>
      <c r="J113">
        <f>Values!J113</f>
        <v>0</v>
      </c>
    </row>
    <row r="114" spans="1:10" x14ac:dyDescent="0.25">
      <c r="A114">
        <f>Values!A114</f>
        <v>113</v>
      </c>
      <c r="B114" t="str">
        <f>Values!B114</f>
        <v>Nh</v>
      </c>
      <c r="C114" t="str">
        <f>Values!C114</f>
        <v>Nihonium</v>
      </c>
      <c r="D114">
        <f>Values!D114</f>
        <v>4.7521639132194585E-25</v>
      </c>
      <c r="E114">
        <f>Values!E114</f>
        <v>0</v>
      </c>
      <c r="F114">
        <f>ABS(Values!F114)</f>
        <v>0</v>
      </c>
      <c r="G114">
        <f>ABS(Values!G114)</f>
        <v>0</v>
      </c>
      <c r="H114">
        <f>Values!H114</f>
        <v>0</v>
      </c>
      <c r="I114">
        <f>Values!I114</f>
        <v>0</v>
      </c>
      <c r="J114">
        <f>Values!J114</f>
        <v>0</v>
      </c>
    </row>
    <row r="115" spans="1:10" x14ac:dyDescent="0.25">
      <c r="A115">
        <f>Values!A115</f>
        <v>114</v>
      </c>
      <c r="B115" t="str">
        <f>Values!B115</f>
        <v>Fl</v>
      </c>
      <c r="C115" t="str">
        <f>Values!C115</f>
        <v>Flerovium</v>
      </c>
      <c r="D115">
        <f>Values!D115</f>
        <v>4.8187515298131299E-25</v>
      </c>
      <c r="E115">
        <f>Values!E115</f>
        <v>0</v>
      </c>
      <c r="F115">
        <f>ABS(Values!F115)</f>
        <v>0</v>
      </c>
      <c r="G115">
        <f>ABS(Values!G115)</f>
        <v>0</v>
      </c>
      <c r="H115">
        <f>Values!H115</f>
        <v>0</v>
      </c>
      <c r="I115">
        <f>Values!I115</f>
        <v>0</v>
      </c>
      <c r="J115">
        <f>Values!J115</f>
        <v>0</v>
      </c>
    </row>
    <row r="116" spans="1:10" x14ac:dyDescent="0.25">
      <c r="A116">
        <f>Values!A116</f>
        <v>115</v>
      </c>
      <c r="B116" t="str">
        <f>Values!B116</f>
        <v>Mc</v>
      </c>
      <c r="C116" t="str">
        <f>Values!C116</f>
        <v>Moscovium</v>
      </c>
      <c r="D116">
        <f>Values!D116</f>
        <v>4.8188179513758166E-25</v>
      </c>
      <c r="E116">
        <f>Values!E116</f>
        <v>0</v>
      </c>
      <c r="F116">
        <f>ABS(Values!F116)</f>
        <v>0</v>
      </c>
      <c r="G116">
        <f>ABS(Values!G116)</f>
        <v>0</v>
      </c>
      <c r="H116">
        <f>Values!H116</f>
        <v>0</v>
      </c>
      <c r="I116">
        <f>Values!I116</f>
        <v>0</v>
      </c>
      <c r="J116">
        <f>Values!J116</f>
        <v>0</v>
      </c>
    </row>
    <row r="117" spans="1:10" x14ac:dyDescent="0.25">
      <c r="A117">
        <f>Values!A117</f>
        <v>116</v>
      </c>
      <c r="B117" t="str">
        <f>Values!B117</f>
        <v>Lv</v>
      </c>
      <c r="C117" t="str">
        <f>Values!C117</f>
        <v>Livermorium</v>
      </c>
      <c r="D117">
        <f>Values!D117</f>
        <v>4.8687835719070767E-25</v>
      </c>
      <c r="E117">
        <f>Values!E117</f>
        <v>0</v>
      </c>
      <c r="F117">
        <f>ABS(Values!F117)</f>
        <v>0</v>
      </c>
      <c r="G117">
        <f>ABS(Values!G117)</f>
        <v>0</v>
      </c>
      <c r="H117">
        <f>Values!H117</f>
        <v>0</v>
      </c>
      <c r="I117">
        <f>Values!I117</f>
        <v>0</v>
      </c>
      <c r="J117">
        <f>Values!J117</f>
        <v>0</v>
      </c>
    </row>
    <row r="118" spans="1:10" x14ac:dyDescent="0.25">
      <c r="A118">
        <f>Values!A118</f>
        <v>117</v>
      </c>
      <c r="B118" t="str">
        <f>Values!B118</f>
        <v>Ts</v>
      </c>
      <c r="C118" t="str">
        <f>Values!C118</f>
        <v>Tennessine</v>
      </c>
      <c r="D118">
        <f>Values!D118</f>
        <v>4.8854885949228468E-25</v>
      </c>
      <c r="E118">
        <f>Values!E118</f>
        <v>0</v>
      </c>
      <c r="F118">
        <f>ABS(Values!F118)</f>
        <v>0</v>
      </c>
      <c r="G118">
        <f>ABS(Values!G118)</f>
        <v>0</v>
      </c>
      <c r="H118">
        <f>Values!H118</f>
        <v>0</v>
      </c>
      <c r="I118">
        <f>Values!I118</f>
        <v>0</v>
      </c>
      <c r="J118">
        <f>Values!J118</f>
        <v>0</v>
      </c>
    </row>
    <row r="119" spans="1:10" x14ac:dyDescent="0.25">
      <c r="A119">
        <f>Values!A119</f>
        <v>118</v>
      </c>
      <c r="B119" t="str">
        <f>Values!B119</f>
        <v>Og</v>
      </c>
      <c r="C119" t="str">
        <f>Values!C119</f>
        <v>Oganesson</v>
      </c>
      <c r="D119">
        <f>Values!D119</f>
        <v>4.9021770125479429E-25</v>
      </c>
      <c r="E119">
        <f>Values!E119</f>
        <v>0</v>
      </c>
      <c r="F119">
        <f>ABS(Values!F119)</f>
        <v>0</v>
      </c>
      <c r="G119">
        <f>ABS(Values!G119)</f>
        <v>0</v>
      </c>
      <c r="H119">
        <f>Values!H119</f>
        <v>0</v>
      </c>
      <c r="I119">
        <f>Values!I119</f>
        <v>0</v>
      </c>
      <c r="J119">
        <f>Values!J119</f>
        <v>0</v>
      </c>
    </row>
    <row r="120" spans="1:10" x14ac:dyDescent="0.25">
      <c r="A120" t="str">
        <f>'10um Microsphere'!A2</f>
        <v>N/A</v>
      </c>
      <c r="B120" t="str">
        <f>'10um Microsphere'!B2</f>
        <v>N/A</v>
      </c>
      <c r="C120" t="str">
        <f>'10um Microsphere'!C2</f>
        <v>Minimum Size, Minimum Charge: 10um Carboxylate-Modified Polystyrene Microsphere</v>
      </c>
      <c r="D120" t="str">
        <f>'10um Microsphere'!D2</f>
        <v>N/A</v>
      </c>
      <c r="E120" t="str">
        <f>'10um Microsphere'!E2</f>
        <v>N/A</v>
      </c>
      <c r="F120" t="str">
        <f>'10um Microsphere'!F2</f>
        <v>N/A</v>
      </c>
      <c r="G120" s="1">
        <f>'10um Microsphere'!G2</f>
        <v>4.5338721247467527E-11</v>
      </c>
      <c r="H120" s="1">
        <f>'10um Microsphere'!H2</f>
        <v>4.2455846355743857E-13</v>
      </c>
      <c r="I120" s="1">
        <f>'10um Microsphere'!I2</f>
        <v>4.5800000000000002E-6</v>
      </c>
      <c r="J120" s="1">
        <f>'10um Microsphere'!J2</f>
        <v>8.6330966120647525E-8</v>
      </c>
    </row>
    <row r="121" spans="1:10" x14ac:dyDescent="0.25">
      <c r="A121" t="str">
        <f>'10um Microsphere'!A3</f>
        <v>N/A</v>
      </c>
      <c r="B121" t="str">
        <f>'10um Microsphere'!B3</f>
        <v>N/A</v>
      </c>
      <c r="C121" t="str">
        <f>'10um Microsphere'!C3</f>
        <v>Maximum Size, Minimum Charge: 10um Carboxylate-Modified Polystyrene Microsphere</v>
      </c>
      <c r="D121" t="str">
        <f>'10um Microsphere'!D3</f>
        <v>N/A</v>
      </c>
      <c r="E121" t="str">
        <f>'10um Microsphere'!E3</f>
        <v>N/A</v>
      </c>
      <c r="F121" t="str">
        <f>'10um Microsphere'!F3</f>
        <v>N/A</v>
      </c>
      <c r="G121" s="1">
        <f>'10um Microsphere'!G3</f>
        <v>6.1865122180433195E-11</v>
      </c>
      <c r="H121" s="1">
        <f>'10um Microsphere'!H3</f>
        <v>6.7670972067230634E-13</v>
      </c>
      <c r="I121" s="1">
        <f>'10um Microsphere'!I3</f>
        <v>5.3499999999999996E-6</v>
      </c>
      <c r="J121" s="1">
        <f>'10um Microsphere'!J3</f>
        <v>1.0084512418023235E-7</v>
      </c>
    </row>
    <row r="122" spans="1:10" x14ac:dyDescent="0.25">
      <c r="A122" t="str">
        <f>'10um Microsphere'!A4</f>
        <v>N/A</v>
      </c>
      <c r="B122" t="str">
        <f>'10um Microsphere'!B4</f>
        <v>N/A</v>
      </c>
      <c r="C122" t="str">
        <f>'10um Microsphere'!C4</f>
        <v>Average: 10um Carboxylate-Modified Polystyrene Microsphere</v>
      </c>
      <c r="D122" t="str">
        <f>'10um Microsphere'!D4</f>
        <v>N/A</v>
      </c>
      <c r="E122" t="str">
        <f>'10um Microsphere'!E4</f>
        <v>N/A</v>
      </c>
      <c r="F122" t="str">
        <f>'10um Microsphere'!F4</f>
        <v>N/A</v>
      </c>
      <c r="G122" s="1">
        <f>'10um Microsphere'!G4</f>
        <v>7.0118166539254913E-11</v>
      </c>
      <c r="H122" s="1">
        <f>'10um Microsphere'!H4</f>
        <v>5.4087739022686765E-13</v>
      </c>
      <c r="I122" s="1">
        <f>'10um Microsphere'!I4</f>
        <v>4.9649999999999999E-6</v>
      </c>
      <c r="J122" s="1">
        <f>'10um Microsphere'!J4</f>
        <v>9.3588045150439929E-8</v>
      </c>
    </row>
    <row r="123" spans="1:10" x14ac:dyDescent="0.25">
      <c r="A123" t="str">
        <f>'10um Microsphere'!A5</f>
        <v>N/A</v>
      </c>
      <c r="B123" t="str">
        <f>'10um Microsphere'!B5</f>
        <v>N/A</v>
      </c>
      <c r="C123" t="str">
        <f>'10um Microsphere'!C5</f>
        <v>Minimum Size, Maximum Charge: 10um Carboxylate-Modified Polystyrene Microsphere</v>
      </c>
      <c r="D123" t="str">
        <f>'10um Microsphere'!D5</f>
        <v>N/A</v>
      </c>
      <c r="E123" t="str">
        <f>'10um Microsphere'!E5</f>
        <v>N/A</v>
      </c>
      <c r="F123" t="str">
        <f>'10um Microsphere'!F5</f>
        <v>N/A</v>
      </c>
      <c r="G123" s="1">
        <f>'10um Microsphere'!G5</f>
        <v>7.3992201138257894E-11</v>
      </c>
      <c r="H123" s="1">
        <f>'10um Microsphere'!H5</f>
        <v>4.2455846355743857E-13</v>
      </c>
      <c r="I123" s="1">
        <f>'10um Microsphere'!I5</f>
        <v>4.5800000000000002E-6</v>
      </c>
      <c r="J123" s="1">
        <f>'10um Microsphere'!J5</f>
        <v>8.6330966120647525E-8</v>
      </c>
    </row>
    <row r="124" spans="1:10" x14ac:dyDescent="0.25">
      <c r="A124" t="str">
        <f>'10um Microsphere'!A6</f>
        <v>N/A</v>
      </c>
      <c r="B124" t="str">
        <f>'10um Microsphere'!B6</f>
        <v>N/A</v>
      </c>
      <c r="C124" t="str">
        <f>'10um Microsphere'!C6</f>
        <v>Maximum Size, Maximum Charge: 10um Carboxylate-Modified Polystyrene Microsphere</v>
      </c>
      <c r="D124" t="str">
        <f>'10um Microsphere'!D6</f>
        <v>N/A</v>
      </c>
      <c r="E124" t="str">
        <f>'10um Microsphere'!E6</f>
        <v>N/A</v>
      </c>
      <c r="F124" t="str">
        <f>'10um Microsphere'!F6</f>
        <v>N/A</v>
      </c>
      <c r="G124" s="1">
        <f>'10um Microsphere'!G6</f>
        <v>1.0096307169389342E-10</v>
      </c>
      <c r="H124" s="1">
        <f>'10um Microsphere'!H6</f>
        <v>6.7670972067230634E-13</v>
      </c>
      <c r="I124" s="1">
        <f>'10um Microsphere'!I6</f>
        <v>5.3499999999999996E-6</v>
      </c>
      <c r="J124" s="1">
        <f>'10um Microsphere'!J6</f>
        <v>1.0084512418023235E-7</v>
      </c>
    </row>
    <row r="125" spans="1:10" x14ac:dyDescent="0.25">
      <c r="A125" t="str">
        <f>'2um Microsphere'!A2</f>
        <v>N/A</v>
      </c>
      <c r="B125" t="str">
        <f>'2um Microsphere'!B2</f>
        <v>N/A</v>
      </c>
      <c r="C125" t="str">
        <f>'2um Microsphere'!C2</f>
        <v>Minimum Size, Minimum Charge: 2um Carboxylate-Modified Polystyrene Microsphere</v>
      </c>
      <c r="D125" t="str">
        <f>'2um Microsphere'!D2</f>
        <v>N/A</v>
      </c>
      <c r="E125" t="str">
        <f>'2um Microsphere'!E2</f>
        <v>N/A</v>
      </c>
      <c r="F125" t="str">
        <f>'2um Microsphere'!F2</f>
        <v>N/A</v>
      </c>
      <c r="G125" s="1">
        <f>ABS('2um Microsphere'!G2)</f>
        <v>1.5250949501445952E-12</v>
      </c>
      <c r="H125" s="1">
        <f>'2um Microsphere'!H2</f>
        <v>2.6192619085622871E-15</v>
      </c>
      <c r="I125" s="1">
        <f>'2um Microsphere'!I2</f>
        <v>8.4E-7</v>
      </c>
      <c r="J125" s="1">
        <f>'2um Microsphere'!J2</f>
        <v>1.5833626974092556E-8</v>
      </c>
    </row>
    <row r="126" spans="1:10" x14ac:dyDescent="0.25">
      <c r="A126" t="str">
        <f>'2um Microsphere'!A3</f>
        <v>N/A</v>
      </c>
      <c r="B126" t="str">
        <f>'2um Microsphere'!B3</f>
        <v>N/A</v>
      </c>
      <c r="C126" t="str">
        <f>'2um Microsphere'!C3</f>
        <v>Minimum Size, Maximum Charge: 2um Carboxylate-Modified Polystyrene Microsphere</v>
      </c>
      <c r="D126" t="str">
        <f>'2um Microsphere'!D3</f>
        <v>N/A</v>
      </c>
      <c r="E126" t="str">
        <f>'2um Microsphere'!E3</f>
        <v>N/A</v>
      </c>
      <c r="F126" t="str">
        <f>'2um Microsphere'!F3</f>
        <v>N/A</v>
      </c>
      <c r="G126" s="1">
        <f>ABS('2um Microsphere'!G3)</f>
        <v>1.7645435035804641E-12</v>
      </c>
      <c r="H126" s="1">
        <f>'2um Microsphere'!H3</f>
        <v>2.6192619085622871E-15</v>
      </c>
      <c r="I126" s="1">
        <f>'2um Microsphere'!I3</f>
        <v>8.4E-7</v>
      </c>
      <c r="J126" s="1">
        <f>'2um Microsphere'!J3</f>
        <v>1.5833626974092556E-8</v>
      </c>
    </row>
    <row r="127" spans="1:10" x14ac:dyDescent="0.25">
      <c r="A127" t="str">
        <f>'2um Microsphere'!A4</f>
        <v>N/A</v>
      </c>
      <c r="B127" t="str">
        <f>'2um Microsphere'!B4</f>
        <v>N/A</v>
      </c>
      <c r="C127" t="str">
        <f>'2um Microsphere'!C4</f>
        <v>Average: 2um Carboxylate-Modified Polystyrene Microsphere</v>
      </c>
      <c r="D127" t="str">
        <f>'2um Microsphere'!D4</f>
        <v>N/A</v>
      </c>
      <c r="E127" t="str">
        <f>'2um Microsphere'!E4</f>
        <v>N/A</v>
      </c>
      <c r="F127" t="str">
        <f>'2um Microsphere'!F4</f>
        <v>N/A</v>
      </c>
      <c r="G127" s="1">
        <f>ABS('2um Microsphere'!G4)</f>
        <v>2.5456118427077013E-12</v>
      </c>
      <c r="H127" s="1">
        <f>'2um Microsphere'!H4</f>
        <v>5.0430112881879159E-15</v>
      </c>
      <c r="I127" s="1">
        <f>'2um Microsphere'!I4</f>
        <v>1.0450000000000002E-6</v>
      </c>
      <c r="J127" s="1">
        <f>'2um Microsphere'!J4</f>
        <v>1.9697785938008005E-8</v>
      </c>
    </row>
    <row r="128" spans="1:10" x14ac:dyDescent="0.25">
      <c r="A128" t="str">
        <f>'2um Microsphere'!A5</f>
        <v>N/A</v>
      </c>
      <c r="B128" t="str">
        <f>'2um Microsphere'!B5</f>
        <v>N/A</v>
      </c>
      <c r="C128" t="str">
        <f>'2um Microsphere'!C5</f>
        <v>Maximum Size, Minimum Charge: 2um Carboxylate-Modified Polystyrene Microsphere</v>
      </c>
      <c r="D128" t="str">
        <f>'2um Microsphere'!D5</f>
        <v>N/A</v>
      </c>
      <c r="E128" t="str">
        <f>'2um Microsphere'!E5</f>
        <v>N/A</v>
      </c>
      <c r="F128" t="str">
        <f>'2um Microsphere'!F5</f>
        <v>N/A</v>
      </c>
      <c r="G128" s="1">
        <f>ABS('2um Microsphere'!G5)</f>
        <v>3.3772121026090273E-12</v>
      </c>
      <c r="H128" s="1">
        <f>'2um Microsphere'!H5</f>
        <v>8.6311985665032089E-15</v>
      </c>
      <c r="I128" s="1">
        <f>'2um Microsphere'!I5</f>
        <v>1.2500000000000001E-6</v>
      </c>
      <c r="J128" s="1">
        <f>'2um Microsphere'!J5</f>
        <v>2.3561944901923453E-8</v>
      </c>
    </row>
    <row r="129" spans="1:11" x14ac:dyDescent="0.25">
      <c r="A129" t="str">
        <f>'2um Microsphere'!A6</f>
        <v>N/A</v>
      </c>
      <c r="B129" t="str">
        <f>'2um Microsphere'!B6</f>
        <v>N/A</v>
      </c>
      <c r="C129" t="str">
        <f>'2um Microsphere'!C6</f>
        <v>Maximum Size, Maximum Charge: 2um Carboxylate-Modified Polystyrene Microsphere</v>
      </c>
      <c r="D129" t="str">
        <f>'2um Microsphere'!D6</f>
        <v>N/A</v>
      </c>
      <c r="E129" t="str">
        <f>'2um Microsphere'!E6</f>
        <v>N/A</v>
      </c>
      <c r="F129" t="str">
        <f>'2um Microsphere'!F6</f>
        <v>N/A</v>
      </c>
      <c r="G129" s="1">
        <f>ABS('2um Microsphere'!G6)</f>
        <v>3.9074535492410362E-12</v>
      </c>
      <c r="H129" s="1">
        <f>'2um Microsphere'!H6</f>
        <v>8.6311985665032089E-15</v>
      </c>
      <c r="I129" s="1">
        <f>'2um Microsphere'!I6</f>
        <v>1.2500000000000001E-6</v>
      </c>
      <c r="J129" s="1">
        <f>'2um Microsphere'!J6</f>
        <v>2.3561944901923453E-8</v>
      </c>
      <c r="K12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6D614-36F6-4ED8-B1C5-567FA560E076}">
  <dimension ref="A1:C6"/>
  <sheetViews>
    <sheetView workbookViewId="0">
      <selection activeCell="F13" sqref="F13"/>
    </sheetView>
  </sheetViews>
  <sheetFormatPr defaultRowHeight="15" x14ac:dyDescent="0.25"/>
  <cols>
    <col min="1" max="1" width="25.5703125" bestFit="1" customWidth="1"/>
    <col min="2" max="2" width="11" bestFit="1" customWidth="1"/>
    <col min="3" max="3" width="10" bestFit="1" customWidth="1"/>
  </cols>
  <sheetData>
    <row r="1" spans="1:3" x14ac:dyDescent="0.25">
      <c r="A1" t="s">
        <v>2</v>
      </c>
      <c r="B1" s="1">
        <v>6.0221407599999999E+23</v>
      </c>
      <c r="C1" t="s">
        <v>6</v>
      </c>
    </row>
    <row r="2" spans="1:3" x14ac:dyDescent="0.25">
      <c r="A2" t="s">
        <v>3</v>
      </c>
      <c r="B2" s="1">
        <v>1.5999999999999999E-19</v>
      </c>
      <c r="C2" t="s">
        <v>5</v>
      </c>
    </row>
    <row r="3" spans="1:3" x14ac:dyDescent="0.25">
      <c r="A3" t="s">
        <v>4</v>
      </c>
      <c r="B3">
        <f>0.00054858*10^-3</f>
        <v>5.4858000000000001E-7</v>
      </c>
      <c r="C3" t="s">
        <v>262</v>
      </c>
    </row>
    <row r="4" spans="1:3" x14ac:dyDescent="0.25">
      <c r="A4" t="s">
        <v>266</v>
      </c>
      <c r="B4">
        <v>96485</v>
      </c>
      <c r="C4" t="s">
        <v>267</v>
      </c>
    </row>
    <row r="5" spans="1:3" x14ac:dyDescent="0.25">
      <c r="A5" t="s">
        <v>273</v>
      </c>
      <c r="B5">
        <v>1055</v>
      </c>
      <c r="C5" t="s">
        <v>274</v>
      </c>
    </row>
    <row r="6" spans="1:3" x14ac:dyDescent="0.25">
      <c r="A6" t="s">
        <v>276</v>
      </c>
      <c r="B6">
        <v>1E-3</v>
      </c>
      <c r="C6" t="s">
        <v>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2"/>
  <sheetViews>
    <sheetView topLeftCell="A28" workbookViewId="0">
      <selection activeCell="O8" sqref="O8"/>
    </sheetView>
  </sheetViews>
  <sheetFormatPr defaultRowHeight="15" x14ac:dyDescent="0.25"/>
  <cols>
    <col min="1" max="1" width="15.140625" bestFit="1" customWidth="1"/>
    <col min="2" max="2" width="7.5703125" bestFit="1" customWidth="1"/>
    <col min="3" max="3" width="44.140625" bestFit="1" customWidth="1"/>
    <col min="4" max="4" width="16.140625" bestFit="1" customWidth="1"/>
    <col min="5" max="5" width="17.42578125" bestFit="1" customWidth="1"/>
    <col min="6" max="6" width="15" bestFit="1" customWidth="1"/>
    <col min="7" max="7" width="10.140625" bestFit="1" customWidth="1"/>
    <col min="8" max="8" width="14.140625" bestFit="1" customWidth="1"/>
    <col min="9" max="9" width="15.28515625" bestFit="1" customWidth="1"/>
    <col min="10" max="10" width="28.85546875" bestFit="1" customWidth="1"/>
    <col min="11" max="11" width="11" bestFit="1" customWidth="1"/>
    <col min="12" max="12" width="10" bestFit="1" customWidth="1"/>
  </cols>
  <sheetData>
    <row r="1" spans="1:14" x14ac:dyDescent="0.25">
      <c r="A1" t="s">
        <v>0</v>
      </c>
      <c r="B1" t="s">
        <v>7</v>
      </c>
      <c r="C1" t="s">
        <v>242</v>
      </c>
      <c r="D1" t="s">
        <v>243</v>
      </c>
      <c r="E1" t="s">
        <v>246</v>
      </c>
      <c r="F1" t="s">
        <v>1</v>
      </c>
      <c r="G1" t="s">
        <v>247</v>
      </c>
      <c r="H1" t="s">
        <v>244</v>
      </c>
      <c r="I1" t="s">
        <v>245</v>
      </c>
      <c r="J1" t="s">
        <v>256</v>
      </c>
    </row>
    <row r="2" spans="1:14" x14ac:dyDescent="0.25">
      <c r="A2">
        <v>1</v>
      </c>
      <c r="B2" t="s">
        <v>8</v>
      </c>
      <c r="C2" s="2" t="s">
        <v>248</v>
      </c>
      <c r="D2" s="1">
        <v>1.6738233797112375E-27</v>
      </c>
      <c r="E2">
        <v>1.2E-10</v>
      </c>
      <c r="F2">
        <v>1</v>
      </c>
      <c r="G2" s="1">
        <f>F2*Constants!$B$2</f>
        <v>1.5999999999999999E-19</v>
      </c>
      <c r="H2" s="1">
        <f>D2-F2*Constants!$B$3/Constants!$B$1</f>
        <v>1.6729124411897674E-27</v>
      </c>
      <c r="J2">
        <f>6*PI()*0.001*I2</f>
        <v>0</v>
      </c>
    </row>
    <row r="3" spans="1:14" x14ac:dyDescent="0.25">
      <c r="A3">
        <f>A2+1</f>
        <v>2</v>
      </c>
      <c r="B3" t="s">
        <v>9</v>
      </c>
      <c r="C3" t="s">
        <v>10</v>
      </c>
      <c r="D3" s="1">
        <v>6.6464736702700392E-27</v>
      </c>
      <c r="E3">
        <v>1.4000000000000001E-10</v>
      </c>
      <c r="G3" s="1"/>
      <c r="H3" s="1"/>
      <c r="J3">
        <f t="shared" ref="J3:J66" si="0">6*PI()*0.001*I3</f>
        <v>0</v>
      </c>
      <c r="L3" s="1"/>
      <c r="N3" s="1"/>
    </row>
    <row r="4" spans="1:14" x14ac:dyDescent="0.25">
      <c r="A4">
        <f t="shared" ref="A4:A67" si="1">A3+1</f>
        <v>3</v>
      </c>
      <c r="B4" t="s">
        <v>11</v>
      </c>
      <c r="C4" t="s">
        <v>12</v>
      </c>
      <c r="D4" s="1">
        <v>1.16237734702169E-26</v>
      </c>
      <c r="E4">
        <v>1.8199999999999999E-10</v>
      </c>
      <c r="F4">
        <v>1</v>
      </c>
      <c r="G4" s="1">
        <f>F4*Constants!$B$2</f>
        <v>1.5999999999999999E-19</v>
      </c>
      <c r="H4" s="1">
        <f>D4-F4*Constants!$B$3/Constants!$B$1</f>
        <v>1.1622862531695429E-26</v>
      </c>
      <c r="I4">
        <v>7.5999999999999996E-11</v>
      </c>
      <c r="J4" s="1">
        <v>3.4000000000000001E-12</v>
      </c>
    </row>
    <row r="5" spans="1:14" x14ac:dyDescent="0.25">
      <c r="A5">
        <f t="shared" si="1"/>
        <v>4</v>
      </c>
      <c r="B5" t="s">
        <v>13</v>
      </c>
      <c r="C5" t="s">
        <v>14</v>
      </c>
      <c r="D5" s="1">
        <v>1.496508195202E-26</v>
      </c>
      <c r="E5">
        <v>1.5299999999999999E-10</v>
      </c>
      <c r="F5">
        <v>2</v>
      </c>
      <c r="G5" s="1">
        <f>F5*Constants!$B$2</f>
        <v>3.1999999999999998E-19</v>
      </c>
      <c r="H5" s="1">
        <f>D5-F5*Constants!$B$3/Constants!$B$1</f>
        <v>1.4963260074977058E-26</v>
      </c>
      <c r="I5">
        <v>4.5E-11</v>
      </c>
      <c r="J5">
        <f t="shared" si="0"/>
        <v>8.4823001646924416E-13</v>
      </c>
    </row>
    <row r="6" spans="1:14" x14ac:dyDescent="0.25">
      <c r="A6">
        <f t="shared" si="1"/>
        <v>5</v>
      </c>
      <c r="B6" t="s">
        <v>15</v>
      </c>
      <c r="C6" t="s">
        <v>16</v>
      </c>
      <c r="D6" s="1">
        <v>1.7950427316149283E-26</v>
      </c>
      <c r="E6">
        <v>1.9200000000000001E-10</v>
      </c>
      <c r="G6" s="1"/>
      <c r="H6" s="1"/>
      <c r="J6">
        <f t="shared" si="0"/>
        <v>0</v>
      </c>
    </row>
    <row r="7" spans="1:14" x14ac:dyDescent="0.25">
      <c r="A7">
        <f t="shared" si="1"/>
        <v>6</v>
      </c>
      <c r="B7" t="s">
        <v>5</v>
      </c>
      <c r="C7" t="s">
        <v>17</v>
      </c>
      <c r="D7" s="1">
        <v>1.9944734735825074E-26</v>
      </c>
      <c r="E7">
        <v>1.7000000000000001E-10</v>
      </c>
      <c r="G7" s="1"/>
      <c r="H7" s="1"/>
      <c r="J7">
        <f t="shared" si="0"/>
        <v>0</v>
      </c>
    </row>
    <row r="8" spans="1:14" x14ac:dyDescent="0.25">
      <c r="A8">
        <f t="shared" si="1"/>
        <v>7</v>
      </c>
      <c r="B8" t="s">
        <v>18</v>
      </c>
      <c r="C8" t="s">
        <v>19</v>
      </c>
      <c r="D8" s="1">
        <v>2.3259170713904071E-26</v>
      </c>
      <c r="E8">
        <v>1.5500000000000001E-10</v>
      </c>
      <c r="G8" s="1"/>
      <c r="H8" s="1"/>
      <c r="J8">
        <f t="shared" si="0"/>
        <v>0</v>
      </c>
    </row>
    <row r="9" spans="1:14" x14ac:dyDescent="0.25">
      <c r="A9">
        <f t="shared" si="1"/>
        <v>8</v>
      </c>
      <c r="B9" t="s">
        <v>20</v>
      </c>
      <c r="C9" t="s">
        <v>21</v>
      </c>
      <c r="D9" s="1">
        <v>2.6566964535714372E-26</v>
      </c>
      <c r="E9">
        <v>1.5199999999999999E-10</v>
      </c>
      <c r="F9">
        <v>-2</v>
      </c>
      <c r="G9" s="1">
        <f>F9*Constants!$B$2</f>
        <v>-3.1999999999999998E-19</v>
      </c>
      <c r="H9" s="1">
        <f>D9-F9*Constants!$B$3/Constants!$B$1</f>
        <v>2.6568786412757311E-26</v>
      </c>
      <c r="I9">
        <v>1.4000000000000001E-10</v>
      </c>
      <c r="J9">
        <f t="shared" si="0"/>
        <v>2.6389378290154263E-12</v>
      </c>
    </row>
    <row r="10" spans="1:14" x14ac:dyDescent="0.25">
      <c r="A10">
        <f t="shared" si="1"/>
        <v>9</v>
      </c>
      <c r="B10" t="s">
        <v>22</v>
      </c>
      <c r="C10" t="s">
        <v>23</v>
      </c>
      <c r="D10" s="1">
        <v>3.1547590661099059E-26</v>
      </c>
      <c r="E10">
        <v>1.35E-10</v>
      </c>
      <c r="F10">
        <v>-1</v>
      </c>
      <c r="G10" s="1">
        <f>F10*Constants!$B$2</f>
        <v>-1.5999999999999999E-19</v>
      </c>
      <c r="H10" s="1">
        <f>D10-F10*Constants!$B$3/Constants!$B$1</f>
        <v>3.1548501599620528E-26</v>
      </c>
      <c r="I10">
        <v>1.3300000000000001E-10</v>
      </c>
      <c r="J10">
        <f t="shared" si="0"/>
        <v>2.5069909375646551E-12</v>
      </c>
    </row>
    <row r="11" spans="1:14" x14ac:dyDescent="0.25">
      <c r="A11">
        <f t="shared" si="1"/>
        <v>10</v>
      </c>
      <c r="B11" t="s">
        <v>24</v>
      </c>
      <c r="C11" t="s">
        <v>25</v>
      </c>
      <c r="D11" s="1">
        <v>3.3509678375568226E-26</v>
      </c>
      <c r="E11">
        <v>1.5399999999999999E-10</v>
      </c>
      <c r="G11" s="1"/>
      <c r="H11" s="1"/>
      <c r="J11">
        <f t="shared" si="0"/>
        <v>0</v>
      </c>
    </row>
    <row r="12" spans="1:14" x14ac:dyDescent="0.25">
      <c r="A12">
        <f t="shared" si="1"/>
        <v>11</v>
      </c>
      <c r="B12" t="s">
        <v>26</v>
      </c>
      <c r="C12" t="s">
        <v>27</v>
      </c>
      <c r="D12" s="1">
        <v>3.8175410067963933E-26</v>
      </c>
      <c r="E12">
        <v>2.2699999999999999E-10</v>
      </c>
      <c r="F12">
        <v>1</v>
      </c>
      <c r="G12" s="1">
        <f>F12*Constants!$B$2</f>
        <v>1.5999999999999999E-19</v>
      </c>
      <c r="H12" s="1">
        <f>D12-F12*Constants!$B$3/Constants!$B$1</f>
        <v>3.8174499129442464E-26</v>
      </c>
      <c r="I12">
        <v>1.02E-10</v>
      </c>
      <c r="J12" s="1">
        <v>3.2000000000000001E-12</v>
      </c>
    </row>
    <row r="13" spans="1:14" x14ac:dyDescent="0.25">
      <c r="A13">
        <f t="shared" si="1"/>
        <v>12</v>
      </c>
      <c r="B13" t="s">
        <v>28</v>
      </c>
      <c r="C13" t="s">
        <v>29</v>
      </c>
      <c r="D13" s="1">
        <v>4.0359402027660342E-26</v>
      </c>
      <c r="E13">
        <v>1.73E-10</v>
      </c>
      <c r="F13">
        <v>2</v>
      </c>
      <c r="G13" s="1">
        <f>F13*Constants!$B$2</f>
        <v>3.1999999999999998E-19</v>
      </c>
      <c r="H13" s="1">
        <f>D13-F13*Constants!$B$3/Constants!$B$1</f>
        <v>4.0357580150617403E-26</v>
      </c>
      <c r="I13">
        <v>7.1999999999999997E-11</v>
      </c>
      <c r="J13">
        <f t="shared" si="0"/>
        <v>1.3571680263507906E-12</v>
      </c>
    </row>
    <row r="14" spans="1:14" x14ac:dyDescent="0.25">
      <c r="A14">
        <f t="shared" si="1"/>
        <v>13</v>
      </c>
      <c r="B14" t="s">
        <v>30</v>
      </c>
      <c r="C14" t="s">
        <v>31</v>
      </c>
      <c r="D14" s="1">
        <v>4.48038979414357E-26</v>
      </c>
      <c r="E14">
        <v>1.8399999999999998E-10</v>
      </c>
      <c r="F14">
        <v>3</v>
      </c>
      <c r="G14" s="1">
        <f>F14*Constants!$B$2</f>
        <v>4.7999999999999995E-19</v>
      </c>
      <c r="H14" s="1">
        <f>D14-F14*Constants!$B$3/Constants!$B$1</f>
        <v>4.4801165125871292E-26</v>
      </c>
      <c r="I14">
        <v>5.3499999999999996E-11</v>
      </c>
      <c r="J14">
        <f t="shared" si="0"/>
        <v>1.0084512418023236E-12</v>
      </c>
    </row>
    <row r="15" spans="1:14" x14ac:dyDescent="0.25">
      <c r="A15">
        <f t="shared" si="1"/>
        <v>14</v>
      </c>
      <c r="B15" t="s">
        <v>32</v>
      </c>
      <c r="C15" t="s">
        <v>33</v>
      </c>
      <c r="D15" s="1">
        <v>4.6636239701577485E-26</v>
      </c>
      <c r="E15">
        <v>2.1E-10</v>
      </c>
      <c r="F15">
        <v>4</v>
      </c>
      <c r="G15" s="1">
        <f>F15*Constants!$B$2</f>
        <v>6.3999999999999996E-19</v>
      </c>
      <c r="H15" s="1">
        <f>D15-F15*Constants!$B$3/Constants!$B$1</f>
        <v>4.6632595947491601E-26</v>
      </c>
      <c r="I15">
        <v>3.9999999999999998E-11</v>
      </c>
      <c r="J15">
        <f t="shared" si="0"/>
        <v>7.5398223686155032E-13</v>
      </c>
    </row>
    <row r="16" spans="1:14" x14ac:dyDescent="0.25">
      <c r="A16">
        <f t="shared" si="1"/>
        <v>15</v>
      </c>
      <c r="B16" t="s">
        <v>34</v>
      </c>
      <c r="C16" t="s">
        <v>35</v>
      </c>
      <c r="D16" s="1">
        <v>5.1433141858344739E-26</v>
      </c>
      <c r="E16">
        <v>1.8E-10</v>
      </c>
      <c r="F16">
        <v>-3</v>
      </c>
      <c r="G16" s="1">
        <f>F16*Constants!$B$2</f>
        <v>-4.7999999999999995E-19</v>
      </c>
      <c r="H16" s="1">
        <f>D16-F16*Constants!$B$3/Constants!$B$1</f>
        <v>5.1435874673909148E-26</v>
      </c>
      <c r="I16">
        <v>2.1199999999999999E-10</v>
      </c>
      <c r="J16">
        <f t="shared" si="0"/>
        <v>3.9961058553662171E-12</v>
      </c>
    </row>
    <row r="17" spans="1:10" x14ac:dyDescent="0.25">
      <c r="A17">
        <f t="shared" si="1"/>
        <v>16</v>
      </c>
      <c r="B17" t="s">
        <v>36</v>
      </c>
      <c r="C17" t="s">
        <v>37</v>
      </c>
      <c r="D17" s="1">
        <v>5.3253487884265267E-26</v>
      </c>
      <c r="E17">
        <v>1.8E-10</v>
      </c>
      <c r="F17">
        <v>-2</v>
      </c>
      <c r="G17" s="1">
        <f>F17*Constants!$B$2</f>
        <v>-3.1999999999999998E-19</v>
      </c>
      <c r="H17" s="1">
        <f>D17-F17*Constants!$B$3/Constants!$B$1</f>
        <v>5.3255309761308206E-26</v>
      </c>
      <c r="I17">
        <v>1.8399999999999998E-10</v>
      </c>
      <c r="J17">
        <f t="shared" si="0"/>
        <v>3.4683182895631316E-12</v>
      </c>
    </row>
    <row r="18" spans="1:10" x14ac:dyDescent="0.25">
      <c r="A18">
        <f t="shared" si="1"/>
        <v>17</v>
      </c>
      <c r="B18" t="s">
        <v>38</v>
      </c>
      <c r="C18" t="s">
        <v>39</v>
      </c>
      <c r="D18" s="1">
        <v>5.8866109931312867E-26</v>
      </c>
      <c r="E18">
        <v>1.7499999999999999E-10</v>
      </c>
      <c r="F18">
        <v>-1</v>
      </c>
      <c r="G18" s="1">
        <f>F18*Constants!$B$2</f>
        <v>-1.5999999999999999E-19</v>
      </c>
      <c r="H18" s="1">
        <f>D18-F18*Constants!$B$3/Constants!$B$1</f>
        <v>5.8867020869834342E-26</v>
      </c>
      <c r="I18">
        <v>1.81E-10</v>
      </c>
      <c r="J18">
        <f t="shared" si="0"/>
        <v>3.4117696217985153E-12</v>
      </c>
    </row>
    <row r="19" spans="1:10" x14ac:dyDescent="0.25">
      <c r="A19">
        <f t="shared" si="1"/>
        <v>18</v>
      </c>
      <c r="B19" t="s">
        <v>40</v>
      </c>
      <c r="C19" t="s">
        <v>41</v>
      </c>
      <c r="D19" s="1">
        <v>6.6255508780236482E-26</v>
      </c>
      <c r="E19">
        <v>1.88E-10</v>
      </c>
      <c r="G19" s="1"/>
      <c r="H19" s="1"/>
      <c r="J19">
        <f t="shared" si="0"/>
        <v>0</v>
      </c>
    </row>
    <row r="20" spans="1:10" x14ac:dyDescent="0.25">
      <c r="A20">
        <f t="shared" si="1"/>
        <v>19</v>
      </c>
      <c r="B20" t="s">
        <v>42</v>
      </c>
      <c r="C20" t="s">
        <v>43</v>
      </c>
      <c r="D20" s="1">
        <v>6.4924254610083222E-26</v>
      </c>
      <c r="E20">
        <v>2.7499999999999998E-10</v>
      </c>
      <c r="F20">
        <v>1</v>
      </c>
      <c r="G20" s="1">
        <f>F20*Constants!$B$2</f>
        <v>1.5999999999999999E-19</v>
      </c>
      <c r="H20" s="1">
        <f>D20-F20*Constants!$B$3/Constants!$B$1</f>
        <v>6.4923343671561747E-26</v>
      </c>
      <c r="I20">
        <v>1.3799999999999999E-10</v>
      </c>
      <c r="J20">
        <f t="shared" si="0"/>
        <v>2.6012387171723487E-12</v>
      </c>
    </row>
    <row r="21" spans="1:10" x14ac:dyDescent="0.25">
      <c r="A21">
        <f t="shared" si="1"/>
        <v>20</v>
      </c>
      <c r="B21" t="s">
        <v>44</v>
      </c>
      <c r="C21" t="s">
        <v>45</v>
      </c>
      <c r="D21" s="1">
        <v>6.6554405812327772E-26</v>
      </c>
      <c r="E21">
        <v>2.31E-10</v>
      </c>
      <c r="F21">
        <v>2</v>
      </c>
      <c r="G21" s="1">
        <f>F21*Constants!$B$2</f>
        <v>3.1999999999999998E-19</v>
      </c>
      <c r="H21" s="1">
        <f>D21-F21*Constants!$B$3/Constants!$B$1</f>
        <v>6.6552583935284834E-26</v>
      </c>
      <c r="I21">
        <v>1E-10</v>
      </c>
      <c r="J21">
        <f t="shared" si="0"/>
        <v>1.884955592153876E-12</v>
      </c>
    </row>
    <row r="22" spans="1:10" x14ac:dyDescent="0.25">
      <c r="A22">
        <f t="shared" si="1"/>
        <v>21</v>
      </c>
      <c r="B22" t="s">
        <v>46</v>
      </c>
      <c r="C22" t="s">
        <v>47</v>
      </c>
      <c r="D22" s="1">
        <v>7.4651044855351413E-26</v>
      </c>
      <c r="E22">
        <v>2.11E-10</v>
      </c>
      <c r="F22">
        <v>3</v>
      </c>
      <c r="G22" s="1">
        <f>F22*Constants!$B$2</f>
        <v>4.7999999999999995E-19</v>
      </c>
      <c r="H22" s="1">
        <f>D22-F22*Constants!$B$3/Constants!$B$1</f>
        <v>7.4648312039786999E-26</v>
      </c>
      <c r="I22">
        <v>7.4500000000000001E-11</v>
      </c>
      <c r="J22">
        <f t="shared" si="0"/>
        <v>1.4042919161546376E-12</v>
      </c>
    </row>
    <row r="23" spans="1:10" x14ac:dyDescent="0.25">
      <c r="A23">
        <f t="shared" si="1"/>
        <v>22</v>
      </c>
      <c r="B23" t="s">
        <v>48</v>
      </c>
      <c r="C23" t="s">
        <v>49</v>
      </c>
      <c r="D23" s="1">
        <v>7.9485023528410509E-26</v>
      </c>
      <c r="E23">
        <v>1.87E-10</v>
      </c>
      <c r="F23">
        <v>3</v>
      </c>
      <c r="G23" s="1">
        <f>F23*Constants!$B$2</f>
        <v>4.7999999999999995E-19</v>
      </c>
      <c r="H23" s="1">
        <f>D23-F23*Constants!$B$3/Constants!$B$1</f>
        <v>7.9482290712846095E-26</v>
      </c>
      <c r="I23">
        <v>6.7000000000000001E-11</v>
      </c>
      <c r="J23">
        <f t="shared" si="0"/>
        <v>1.2629202467430969E-12</v>
      </c>
    </row>
    <row r="24" spans="1:10" x14ac:dyDescent="0.25">
      <c r="A24">
        <f t="shared" si="1"/>
        <v>23</v>
      </c>
      <c r="B24" t="s">
        <v>50</v>
      </c>
      <c r="C24" t="s">
        <v>51</v>
      </c>
      <c r="D24" s="1">
        <v>8.4590350890436507E-26</v>
      </c>
      <c r="E24">
        <v>1.79E-10</v>
      </c>
      <c r="F24">
        <v>2</v>
      </c>
      <c r="G24" s="1">
        <f>F24*Constants!$B$2</f>
        <v>3.1999999999999998E-19</v>
      </c>
      <c r="H24" s="1">
        <f>D24-F24*Constants!$B$3/Constants!$B$1</f>
        <v>8.4588529013393568E-26</v>
      </c>
      <c r="I24">
        <v>7.8999999999999999E-11</v>
      </c>
      <c r="J24">
        <f t="shared" si="0"/>
        <v>1.489114917801562E-12</v>
      </c>
    </row>
    <row r="25" spans="1:10" x14ac:dyDescent="0.25">
      <c r="A25">
        <f t="shared" si="1"/>
        <v>24</v>
      </c>
      <c r="B25" t="s">
        <v>52</v>
      </c>
      <c r="C25" t="s">
        <v>53</v>
      </c>
      <c r="D25" s="1">
        <v>8.6341389336771338E-26</v>
      </c>
      <c r="E25">
        <v>1.8899999999999999E-10</v>
      </c>
      <c r="F25">
        <v>2</v>
      </c>
      <c r="G25" s="1">
        <f>F25*Constants!$B$2</f>
        <v>3.1999999999999998E-19</v>
      </c>
      <c r="H25" s="1">
        <f>D25-F25*Constants!$B$3/Constants!$B$1</f>
        <v>8.6339567459728399E-26</v>
      </c>
      <c r="I25">
        <v>7.9999999999999995E-11</v>
      </c>
      <c r="J25">
        <f t="shared" si="0"/>
        <v>1.5079644737231006E-12</v>
      </c>
    </row>
    <row r="26" spans="1:10" x14ac:dyDescent="0.25">
      <c r="A26">
        <f t="shared" si="1"/>
        <v>25</v>
      </c>
      <c r="B26" t="s">
        <v>54</v>
      </c>
      <c r="C26" t="s">
        <v>55</v>
      </c>
      <c r="D26" s="1">
        <v>9.122676169395948E-26</v>
      </c>
      <c r="E26">
        <v>1.9699999999999999E-10</v>
      </c>
      <c r="F26">
        <v>2</v>
      </c>
      <c r="G26" s="1">
        <f>F26*Constants!$B$2</f>
        <v>3.1999999999999998E-19</v>
      </c>
      <c r="H26" s="1">
        <f>D26-F26*Constants!$B$3/Constants!$B$1</f>
        <v>9.1224939816916541E-26</v>
      </c>
      <c r="I26">
        <v>8.2999999999999998E-11</v>
      </c>
      <c r="J26">
        <f t="shared" si="0"/>
        <v>1.5645131414877169E-12</v>
      </c>
    </row>
    <row r="27" spans="1:10" x14ac:dyDescent="0.25">
      <c r="A27">
        <f t="shared" si="1"/>
        <v>26</v>
      </c>
      <c r="B27" t="s">
        <v>56</v>
      </c>
      <c r="C27" t="s">
        <v>57</v>
      </c>
      <c r="D27" s="1">
        <v>9.2724501510987602E-26</v>
      </c>
      <c r="E27">
        <v>1.94E-10</v>
      </c>
      <c r="F27">
        <v>2</v>
      </c>
      <c r="G27" s="1">
        <f>F27*Constants!$B$2</f>
        <v>3.1999999999999998E-19</v>
      </c>
      <c r="H27" s="1">
        <f>D27-F27*Constants!$B$3/Constants!$B$1</f>
        <v>9.2722679633944663E-26</v>
      </c>
      <c r="I27">
        <v>7.8000000000000002E-11</v>
      </c>
      <c r="J27">
        <f t="shared" si="0"/>
        <v>1.4702653618800232E-12</v>
      </c>
    </row>
    <row r="28" spans="1:10" x14ac:dyDescent="0.25">
      <c r="A28">
        <f t="shared" si="1"/>
        <v>27</v>
      </c>
      <c r="B28" t="s">
        <v>58</v>
      </c>
      <c r="C28" t="s">
        <v>59</v>
      </c>
      <c r="D28" s="1">
        <v>9.7860864348179076E-26</v>
      </c>
      <c r="E28">
        <v>1.9200000000000001E-10</v>
      </c>
      <c r="F28">
        <v>2</v>
      </c>
      <c r="G28" s="1">
        <f>F28*Constants!$B$2</f>
        <v>3.1999999999999998E-19</v>
      </c>
      <c r="H28" s="1">
        <f>D28-F28*Constants!$B$3/Constants!$B$1</f>
        <v>9.7859042471136137E-26</v>
      </c>
      <c r="I28">
        <v>7.4500000000000001E-11</v>
      </c>
      <c r="J28">
        <f t="shared" si="0"/>
        <v>1.4042919161546376E-12</v>
      </c>
    </row>
    <row r="29" spans="1:10" x14ac:dyDescent="0.25">
      <c r="A29">
        <f t="shared" si="1"/>
        <v>28</v>
      </c>
      <c r="B29" t="s">
        <v>60</v>
      </c>
      <c r="C29" t="s">
        <v>61</v>
      </c>
      <c r="D29" s="1">
        <v>9.7462019469634584E-26</v>
      </c>
      <c r="E29">
        <v>1.6300000000000001E-10</v>
      </c>
      <c r="F29">
        <v>2</v>
      </c>
      <c r="G29" s="1">
        <f>F29*Constants!$B$2</f>
        <v>3.1999999999999998E-19</v>
      </c>
      <c r="H29" s="1">
        <f>D29-F29*Constants!$B$3/Constants!$B$1</f>
        <v>9.7460197592591645E-26</v>
      </c>
      <c r="I29">
        <v>6.8999999999999994E-11</v>
      </c>
      <c r="J29">
        <f t="shared" si="0"/>
        <v>1.3006193585861743E-12</v>
      </c>
    </row>
    <row r="30" spans="1:10" x14ac:dyDescent="0.25">
      <c r="A30">
        <f t="shared" si="1"/>
        <v>29</v>
      </c>
      <c r="B30" t="s">
        <v>62</v>
      </c>
      <c r="C30" t="s">
        <v>63</v>
      </c>
      <c r="D30" s="1">
        <v>1.0552725771889795E-25</v>
      </c>
      <c r="E30">
        <v>1.4000000000000001E-10</v>
      </c>
      <c r="F30">
        <v>2</v>
      </c>
      <c r="G30" s="1">
        <f>F30*Constants!$B$2</f>
        <v>3.1999999999999998E-19</v>
      </c>
      <c r="H30" s="1">
        <f>D30-F30*Constants!$B$3/Constants!$B$1</f>
        <v>1.05525435841855E-25</v>
      </c>
      <c r="I30">
        <v>7.2999999999999993E-11</v>
      </c>
      <c r="J30">
        <f t="shared" si="0"/>
        <v>1.3760175822723292E-12</v>
      </c>
    </row>
    <row r="31" spans="1:10" x14ac:dyDescent="0.25">
      <c r="A31">
        <f t="shared" si="1"/>
        <v>30</v>
      </c>
      <c r="B31" t="s">
        <v>64</v>
      </c>
      <c r="C31" t="s">
        <v>65</v>
      </c>
      <c r="D31" s="1">
        <v>1.0859925499316958E-25</v>
      </c>
      <c r="E31">
        <v>1.3899999999999999E-10</v>
      </c>
      <c r="F31">
        <v>2</v>
      </c>
      <c r="G31" s="1">
        <f>F31*Constants!$B$2</f>
        <v>3.1999999999999998E-19</v>
      </c>
      <c r="H31" s="1">
        <f>D31-F31*Constants!$B$3/Constants!$B$1</f>
        <v>1.0859743311612663E-25</v>
      </c>
      <c r="I31">
        <v>7.4000000000000003E-11</v>
      </c>
      <c r="J31">
        <f t="shared" si="0"/>
        <v>1.3948671381938683E-12</v>
      </c>
    </row>
    <row r="32" spans="1:10" x14ac:dyDescent="0.25">
      <c r="A32">
        <f t="shared" si="1"/>
        <v>31</v>
      </c>
      <c r="B32" t="s">
        <v>66</v>
      </c>
      <c r="C32" t="s">
        <v>67</v>
      </c>
      <c r="D32" s="1">
        <v>1.157777653805621E-25</v>
      </c>
      <c r="E32">
        <v>1.87E-10</v>
      </c>
      <c r="F32">
        <v>3</v>
      </c>
      <c r="G32" s="1">
        <f>F32*Constants!$B$2</f>
        <v>4.7999999999999995E-19</v>
      </c>
      <c r="H32" s="1">
        <f>D32-F32*Constants!$B$3/Constants!$B$1</f>
        <v>1.1577503256499768E-25</v>
      </c>
      <c r="I32">
        <v>6.1999999999999993E-11</v>
      </c>
      <c r="J32">
        <f t="shared" si="0"/>
        <v>1.1686724671354029E-12</v>
      </c>
    </row>
    <row r="33" spans="1:10" x14ac:dyDescent="0.25">
      <c r="A33">
        <f t="shared" si="1"/>
        <v>32</v>
      </c>
      <c r="B33" t="s">
        <v>68</v>
      </c>
      <c r="C33" t="s">
        <v>69</v>
      </c>
      <c r="D33" s="1">
        <v>1.2060495244883648E-25</v>
      </c>
      <c r="E33">
        <v>2.11E-10</v>
      </c>
      <c r="F33">
        <v>4</v>
      </c>
      <c r="G33" s="1">
        <f>F33*Constants!$B$2</f>
        <v>6.3999999999999996E-19</v>
      </c>
      <c r="H33" s="1">
        <f>D33-F33*Constants!$B$3/Constants!$B$1</f>
        <v>1.2060130869475061E-25</v>
      </c>
      <c r="I33">
        <v>5.2999999999999998E-11</v>
      </c>
      <c r="J33">
        <f t="shared" si="0"/>
        <v>9.9902646384155429E-13</v>
      </c>
    </row>
    <row r="34" spans="1:10" x14ac:dyDescent="0.25">
      <c r="A34">
        <f t="shared" si="1"/>
        <v>33</v>
      </c>
      <c r="B34" t="s">
        <v>70</v>
      </c>
      <c r="C34" t="s">
        <v>71</v>
      </c>
      <c r="D34" s="1">
        <v>1.2441022716978139E-25</v>
      </c>
      <c r="E34">
        <v>1.8500000000000001E-10</v>
      </c>
      <c r="F34">
        <v>3</v>
      </c>
      <c r="G34" s="1">
        <f>F34*Constants!$B$2</f>
        <v>4.7999999999999995E-19</v>
      </c>
      <c r="H34" s="1">
        <f>D34-F34*Constants!$B$3/Constants!$B$1</f>
        <v>1.2440749435421698E-25</v>
      </c>
      <c r="I34">
        <v>5.8E-11</v>
      </c>
      <c r="J34">
        <f t="shared" si="0"/>
        <v>1.093274243449248E-12</v>
      </c>
    </row>
    <row r="35" spans="1:10" x14ac:dyDescent="0.25">
      <c r="A35">
        <f t="shared" si="1"/>
        <v>34</v>
      </c>
      <c r="B35" t="s">
        <v>72</v>
      </c>
      <c r="C35" t="s">
        <v>73</v>
      </c>
      <c r="D35" s="1">
        <v>1.3113277013471868E-25</v>
      </c>
      <c r="E35">
        <v>1.8999999999999999E-10</v>
      </c>
      <c r="F35">
        <v>-2</v>
      </c>
      <c r="G35" s="1">
        <f>F35*Constants!$B$2</f>
        <v>-3.1999999999999998E-19</v>
      </c>
      <c r="H35" s="1">
        <f>D35-F35*Constants!$B$3/Constants!$B$1</f>
        <v>1.3113459201176163E-25</v>
      </c>
      <c r="I35">
        <v>1.9799999999999999E-10</v>
      </c>
      <c r="J35">
        <f t="shared" si="0"/>
        <v>3.7322120724646739E-12</v>
      </c>
    </row>
    <row r="36" spans="1:10" x14ac:dyDescent="0.25">
      <c r="A36">
        <f t="shared" si="1"/>
        <v>35</v>
      </c>
      <c r="B36" t="s">
        <v>74</v>
      </c>
      <c r="C36" t="s">
        <v>75</v>
      </c>
      <c r="D36" s="1">
        <v>1.3267707146719036E-25</v>
      </c>
      <c r="E36">
        <v>1.8299999999999999E-10</v>
      </c>
      <c r="F36">
        <v>-1</v>
      </c>
      <c r="G36" s="1">
        <f>F36*Constants!$B$2</f>
        <v>-1.5999999999999999E-19</v>
      </c>
      <c r="H36" s="1">
        <f>D36-F36*Constants!$B$3/Constants!$B$1</f>
        <v>1.3267798240571183E-25</v>
      </c>
      <c r="I36">
        <v>1.96E-10</v>
      </c>
      <c r="J36">
        <f t="shared" si="0"/>
        <v>3.6945129606215967E-12</v>
      </c>
    </row>
    <row r="37" spans="1:10" x14ac:dyDescent="0.25">
      <c r="A37">
        <f t="shared" si="1"/>
        <v>36</v>
      </c>
      <c r="B37" t="s">
        <v>76</v>
      </c>
      <c r="C37" t="s">
        <v>77</v>
      </c>
      <c r="D37" s="1">
        <v>1.3915317382916835E-25</v>
      </c>
      <c r="E37">
        <v>2.02E-10</v>
      </c>
      <c r="G37" s="1"/>
      <c r="H37" s="1"/>
      <c r="J37">
        <f t="shared" si="0"/>
        <v>0</v>
      </c>
    </row>
    <row r="38" spans="1:10" x14ac:dyDescent="0.25">
      <c r="A38">
        <f t="shared" si="1"/>
        <v>37</v>
      </c>
      <c r="B38" t="s">
        <v>78</v>
      </c>
      <c r="C38" t="s">
        <v>79</v>
      </c>
      <c r="D38" s="1">
        <v>1.4192295299321434E-25</v>
      </c>
      <c r="E38">
        <v>3.0299999999999999E-10</v>
      </c>
      <c r="F38">
        <v>1</v>
      </c>
      <c r="G38" s="1">
        <f>F38*Constants!$B$2</f>
        <v>1.5999999999999999E-19</v>
      </c>
      <c r="H38" s="1">
        <f>D38-F38*Constants!$B$3/Constants!$B$1</f>
        <v>1.4192204205469287E-25</v>
      </c>
      <c r="I38">
        <v>1.5199999999999999E-10</v>
      </c>
      <c r="J38">
        <f t="shared" si="0"/>
        <v>2.8651325000738911E-12</v>
      </c>
    </row>
    <row r="39" spans="1:10" x14ac:dyDescent="0.25">
      <c r="A39">
        <f t="shared" si="1"/>
        <v>38</v>
      </c>
      <c r="B39" t="s">
        <v>80</v>
      </c>
      <c r="C39" t="s">
        <v>81</v>
      </c>
      <c r="D39" s="1">
        <v>1.4549643306577245E-25</v>
      </c>
      <c r="E39">
        <v>2.4900000000000002E-10</v>
      </c>
      <c r="F39">
        <v>2</v>
      </c>
      <c r="G39" s="1">
        <f>F39*Constants!$B$2</f>
        <v>3.1999999999999998E-19</v>
      </c>
      <c r="H39" s="1">
        <f>D39-F39*Constants!$B$3/Constants!$B$1</f>
        <v>1.454946111887295E-25</v>
      </c>
      <c r="I39">
        <v>1.1800000000000001E-10</v>
      </c>
      <c r="J39">
        <f t="shared" si="0"/>
        <v>2.2242475987415737E-12</v>
      </c>
    </row>
    <row r="40" spans="1:10" x14ac:dyDescent="0.25">
      <c r="A40">
        <f t="shared" si="1"/>
        <v>39</v>
      </c>
      <c r="B40" t="s">
        <v>82</v>
      </c>
      <c r="C40" t="s">
        <v>83</v>
      </c>
      <c r="D40" s="1">
        <v>1.4763162061990727E-25</v>
      </c>
      <c r="E40">
        <v>2.1899999999999999E-10</v>
      </c>
      <c r="F40">
        <v>3</v>
      </c>
      <c r="G40" s="1">
        <f>F40*Constants!$B$2</f>
        <v>4.7999999999999995E-19</v>
      </c>
      <c r="H40" s="1">
        <f>D40-F40*Constants!$B$3/Constants!$B$1</f>
        <v>1.4762888780434286E-25</v>
      </c>
      <c r="I40">
        <v>8.9999999999999999E-11</v>
      </c>
      <c r="J40">
        <f t="shared" si="0"/>
        <v>1.6964600329384883E-12</v>
      </c>
    </row>
    <row r="41" spans="1:10" x14ac:dyDescent="0.25">
      <c r="A41">
        <f t="shared" si="1"/>
        <v>40</v>
      </c>
      <c r="B41" t="s">
        <v>84</v>
      </c>
      <c r="C41" t="s">
        <v>85</v>
      </c>
      <c r="D41" s="1">
        <v>1.514743737075983E-25</v>
      </c>
      <c r="E41">
        <v>1.86E-10</v>
      </c>
      <c r="F41">
        <v>4</v>
      </c>
      <c r="G41" s="1">
        <f>F41*Constants!$B$2</f>
        <v>6.3999999999999996E-19</v>
      </c>
      <c r="H41" s="1">
        <f>D41-F41*Constants!$B$3/Constants!$B$1</f>
        <v>1.5147072995351243E-25</v>
      </c>
      <c r="I41">
        <v>7.1999999999999997E-11</v>
      </c>
      <c r="J41">
        <f t="shared" si="0"/>
        <v>1.3571680263507906E-12</v>
      </c>
    </row>
    <row r="42" spans="1:10" x14ac:dyDescent="0.25">
      <c r="A42">
        <f t="shared" si="1"/>
        <v>41</v>
      </c>
      <c r="B42" t="s">
        <v>86</v>
      </c>
      <c r="C42" t="s">
        <v>87</v>
      </c>
      <c r="D42" s="1">
        <v>1.5427465697430825E-25</v>
      </c>
      <c r="E42">
        <v>2.0699999999999998E-10</v>
      </c>
      <c r="F42">
        <v>3</v>
      </c>
      <c r="G42" s="1">
        <f>F42*Constants!$B$2</f>
        <v>4.7999999999999995E-19</v>
      </c>
      <c r="H42" s="1">
        <f>D42-F42*Constants!$B$3/Constants!$B$1</f>
        <v>1.5427192415874383E-25</v>
      </c>
      <c r="I42">
        <v>7.1999999999999997E-11</v>
      </c>
      <c r="J42">
        <f t="shared" si="0"/>
        <v>1.3571680263507906E-12</v>
      </c>
    </row>
    <row r="43" spans="1:10" x14ac:dyDescent="0.25">
      <c r="A43">
        <f t="shared" si="1"/>
        <v>42</v>
      </c>
      <c r="B43" t="s">
        <v>88</v>
      </c>
      <c r="C43" t="s">
        <v>89</v>
      </c>
      <c r="D43" s="1">
        <v>1.5932872349533058E-25</v>
      </c>
      <c r="E43">
        <v>2.09E-10</v>
      </c>
      <c r="F43">
        <v>4</v>
      </c>
      <c r="G43" s="1">
        <f>F43*Constants!$B$2</f>
        <v>6.3999999999999996E-19</v>
      </c>
      <c r="H43" s="1">
        <f>D43-F43*Constants!$B$3/Constants!$B$1</f>
        <v>1.593250797412447E-25</v>
      </c>
      <c r="I43">
        <v>6.4999999999999995E-11</v>
      </c>
      <c r="J43">
        <f t="shared" si="0"/>
        <v>1.2252211349000192E-12</v>
      </c>
    </row>
    <row r="44" spans="1:10" x14ac:dyDescent="0.25">
      <c r="A44">
        <f t="shared" si="1"/>
        <v>43</v>
      </c>
      <c r="B44" t="s">
        <v>90</v>
      </c>
      <c r="C44" t="s">
        <v>91</v>
      </c>
      <c r="D44" s="1">
        <v>1.6091679663761298E-25</v>
      </c>
      <c r="E44">
        <v>2.09E-10</v>
      </c>
      <c r="F44">
        <v>4</v>
      </c>
      <c r="G44" s="1">
        <f>F44*Constants!$B$2</f>
        <v>6.3999999999999996E-19</v>
      </c>
      <c r="H44" s="1">
        <f>D44-F44*Constants!$B$3/Constants!$B$1</f>
        <v>1.6091315288352711E-25</v>
      </c>
      <c r="I44">
        <v>6.4499999999999997E-11</v>
      </c>
      <c r="J44">
        <f t="shared" si="0"/>
        <v>1.2157963569392499E-12</v>
      </c>
    </row>
    <row r="45" spans="1:10" x14ac:dyDescent="0.25">
      <c r="A45">
        <f t="shared" si="1"/>
        <v>44</v>
      </c>
      <c r="B45" t="s">
        <v>92</v>
      </c>
      <c r="C45" t="s">
        <v>93</v>
      </c>
      <c r="D45" s="1">
        <v>1.678804996912759E-25</v>
      </c>
      <c r="E45">
        <v>2.0699999999999998E-10</v>
      </c>
      <c r="F45">
        <v>3</v>
      </c>
      <c r="G45" s="1">
        <f>F45*Constants!$B$2</f>
        <v>4.7999999999999995E-19</v>
      </c>
      <c r="H45" s="1">
        <f>D45-F45*Constants!$B$3/Constants!$B$1</f>
        <v>1.6787776687571149E-25</v>
      </c>
      <c r="I45">
        <v>6.7999999999999998E-11</v>
      </c>
      <c r="J45">
        <f t="shared" si="0"/>
        <v>1.2817698026646355E-12</v>
      </c>
    </row>
    <row r="46" spans="1:10" x14ac:dyDescent="0.25">
      <c r="A46">
        <f t="shared" si="1"/>
        <v>45</v>
      </c>
      <c r="B46" t="s">
        <v>94</v>
      </c>
      <c r="C46" t="s">
        <v>95</v>
      </c>
      <c r="D46" s="1">
        <v>1.7087860297705827E-25</v>
      </c>
      <c r="E46">
        <v>1.95E-10</v>
      </c>
      <c r="F46">
        <v>3</v>
      </c>
      <c r="G46" s="1">
        <f>F46*Constants!$B$2</f>
        <v>4.7999999999999995E-19</v>
      </c>
      <c r="H46" s="1">
        <f>D46-F46*Constants!$B$3/Constants!$B$1</f>
        <v>1.7087587016149386E-25</v>
      </c>
      <c r="I46">
        <v>6.6500000000000003E-11</v>
      </c>
      <c r="J46">
        <f t="shared" si="0"/>
        <v>1.2534954687823276E-12</v>
      </c>
    </row>
    <row r="47" spans="1:10" x14ac:dyDescent="0.25">
      <c r="A47">
        <f t="shared" si="1"/>
        <v>46</v>
      </c>
      <c r="B47" t="s">
        <v>96</v>
      </c>
      <c r="C47" t="s">
        <v>97</v>
      </c>
      <c r="D47" s="1">
        <v>1.7671456752864078E-25</v>
      </c>
      <c r="E47">
        <v>2.02E-10</v>
      </c>
      <c r="F47">
        <v>2</v>
      </c>
      <c r="G47" s="1">
        <f>F47*Constants!$B$2</f>
        <v>3.1999999999999998E-19</v>
      </c>
      <c r="H47" s="1">
        <f>D47-F47*Constants!$B$3/Constants!$B$1</f>
        <v>1.7671274565159783E-25</v>
      </c>
      <c r="I47">
        <v>8.6E-11</v>
      </c>
      <c r="J47">
        <f t="shared" si="0"/>
        <v>1.6210618092523332E-12</v>
      </c>
    </row>
    <row r="48" spans="1:10" x14ac:dyDescent="0.25">
      <c r="A48">
        <f t="shared" si="1"/>
        <v>47</v>
      </c>
      <c r="B48" t="s">
        <v>98</v>
      </c>
      <c r="C48" t="s">
        <v>99</v>
      </c>
      <c r="D48" s="1">
        <v>1.7911902809790849E-25</v>
      </c>
      <c r="E48">
        <v>1.72E-10</v>
      </c>
      <c r="F48">
        <v>1</v>
      </c>
      <c r="G48" s="1">
        <f>F48*Constants!$B$2</f>
        <v>1.5999999999999999E-19</v>
      </c>
      <c r="H48" s="1">
        <f>D48-F48*Constants!$B$3/Constants!$B$1</f>
        <v>1.7911811715938703E-25</v>
      </c>
      <c r="I48">
        <v>1.15E-10</v>
      </c>
      <c r="J48">
        <f t="shared" si="0"/>
        <v>2.1676989309769574E-12</v>
      </c>
    </row>
    <row r="49" spans="1:10" x14ac:dyDescent="0.25">
      <c r="A49">
        <f t="shared" si="1"/>
        <v>48</v>
      </c>
      <c r="B49" t="s">
        <v>100</v>
      </c>
      <c r="C49" t="s">
        <v>101</v>
      </c>
      <c r="D49" s="1">
        <v>1.8666119654101209E-25</v>
      </c>
      <c r="E49">
        <v>1.58E-10</v>
      </c>
      <c r="F49">
        <v>2</v>
      </c>
      <c r="G49" s="1">
        <f>F49*Constants!$B$2</f>
        <v>3.1999999999999998E-19</v>
      </c>
      <c r="H49" s="1">
        <f>D49-F49*Constants!$B$3/Constants!$B$1</f>
        <v>1.8665937466396914E-25</v>
      </c>
      <c r="I49">
        <v>9.4999999999999995E-11</v>
      </c>
      <c r="J49">
        <f t="shared" si="0"/>
        <v>1.7907078125461821E-12</v>
      </c>
    </row>
    <row r="50" spans="1:10" x14ac:dyDescent="0.25">
      <c r="A50">
        <f t="shared" si="1"/>
        <v>49</v>
      </c>
      <c r="B50" t="s">
        <v>102</v>
      </c>
      <c r="C50" t="s">
        <v>103</v>
      </c>
      <c r="D50" s="1">
        <v>1.9065977461476672E-25</v>
      </c>
      <c r="E50">
        <v>1.9300000000000001E-10</v>
      </c>
      <c r="F50">
        <v>3</v>
      </c>
      <c r="G50" s="1">
        <f>F50*Constants!$B$2</f>
        <v>4.7999999999999995E-19</v>
      </c>
      <c r="H50" s="1">
        <f>D50-F50*Constants!$B$3/Constants!$B$1</f>
        <v>1.906570417992023E-25</v>
      </c>
      <c r="I50">
        <v>7.9999999999999995E-11</v>
      </c>
      <c r="J50">
        <f t="shared" si="0"/>
        <v>1.5079644737231006E-12</v>
      </c>
    </row>
    <row r="51" spans="1:10" x14ac:dyDescent="0.25">
      <c r="A51">
        <f t="shared" si="1"/>
        <v>50</v>
      </c>
      <c r="B51" t="s">
        <v>104</v>
      </c>
      <c r="C51" t="s">
        <v>105</v>
      </c>
      <c r="D51" s="1">
        <v>1.9712259266420731E-25</v>
      </c>
      <c r="E51">
        <v>2.17E-10</v>
      </c>
      <c r="F51">
        <v>4</v>
      </c>
      <c r="G51" s="1">
        <f>F51*Constants!$B$2</f>
        <v>6.3999999999999996E-19</v>
      </c>
      <c r="H51" s="1">
        <f>D51-F51*Constants!$B$3/Constants!$B$1</f>
        <v>1.9711894891012143E-25</v>
      </c>
      <c r="I51">
        <v>6.8999999999999994E-11</v>
      </c>
      <c r="J51">
        <f t="shared" si="0"/>
        <v>1.3006193585861743E-12</v>
      </c>
    </row>
    <row r="52" spans="1:10" x14ac:dyDescent="0.25">
      <c r="A52">
        <f t="shared" si="1"/>
        <v>51</v>
      </c>
      <c r="B52" t="s">
        <v>106</v>
      </c>
      <c r="C52" t="s">
        <v>107</v>
      </c>
      <c r="D52" s="1">
        <v>2.0218723681908758E-25</v>
      </c>
      <c r="E52">
        <v>2.0599999999999999E-10</v>
      </c>
      <c r="F52">
        <v>3</v>
      </c>
      <c r="G52" s="1">
        <f>F52*Constants!$B$2</f>
        <v>4.7999999999999995E-19</v>
      </c>
      <c r="H52" s="1">
        <f>D52-F52*Constants!$B$3/Constants!$B$1</f>
        <v>2.0218450400352316E-25</v>
      </c>
      <c r="I52">
        <v>7.5999999999999996E-11</v>
      </c>
      <c r="J52">
        <f t="shared" si="0"/>
        <v>1.4325662500369455E-12</v>
      </c>
    </row>
    <row r="53" spans="1:10" x14ac:dyDescent="0.25">
      <c r="A53">
        <f t="shared" si="1"/>
        <v>52</v>
      </c>
      <c r="B53" t="s">
        <v>108</v>
      </c>
      <c r="C53" t="s">
        <v>109</v>
      </c>
      <c r="D53" s="1">
        <v>2.1188478497138281E-25</v>
      </c>
      <c r="E53">
        <v>2.0599999999999999E-10</v>
      </c>
      <c r="F53">
        <v>-2</v>
      </c>
      <c r="G53" s="1">
        <f>F53*Constants!$B$2</f>
        <v>-3.1999999999999998E-19</v>
      </c>
      <c r="H53" s="1">
        <f>D53-F53*Constants!$B$3/Constants!$B$1</f>
        <v>2.1188660684842574E-25</v>
      </c>
      <c r="I53">
        <v>2.2099999999999999E-10</v>
      </c>
      <c r="J53">
        <f t="shared" si="0"/>
        <v>4.1657518586600652E-12</v>
      </c>
    </row>
    <row r="54" spans="1:10" x14ac:dyDescent="0.25">
      <c r="A54">
        <f t="shared" si="1"/>
        <v>53</v>
      </c>
      <c r="B54" t="s">
        <v>110</v>
      </c>
      <c r="C54" t="s">
        <v>111</v>
      </c>
      <c r="D54" s="1">
        <v>2.1072988005016343E-25</v>
      </c>
      <c r="E54">
        <v>1.9799999999999999E-10</v>
      </c>
      <c r="F54">
        <v>-1</v>
      </c>
      <c r="G54" s="1">
        <f>F54*Constants!$B$2</f>
        <v>-1.5999999999999999E-19</v>
      </c>
      <c r="H54" s="1">
        <f>D54-F54*Constants!$B$3/Constants!$B$1</f>
        <v>2.1073079098868489E-25</v>
      </c>
      <c r="I54">
        <v>2.1999999999999999E-10</v>
      </c>
      <c r="J54">
        <f t="shared" si="0"/>
        <v>4.146902302738527E-12</v>
      </c>
    </row>
    <row r="55" spans="1:10" x14ac:dyDescent="0.25">
      <c r="A55">
        <f t="shared" si="1"/>
        <v>54</v>
      </c>
      <c r="B55" t="s">
        <v>112</v>
      </c>
      <c r="C55" t="s">
        <v>113</v>
      </c>
      <c r="D55" s="1">
        <v>2.1801217412925434E-25</v>
      </c>
      <c r="E55">
        <v>2.16E-10</v>
      </c>
      <c r="G55" s="1"/>
      <c r="H55" s="1"/>
      <c r="J55">
        <f t="shared" si="0"/>
        <v>0</v>
      </c>
    </row>
    <row r="56" spans="1:10" x14ac:dyDescent="0.25">
      <c r="A56">
        <f t="shared" si="1"/>
        <v>55</v>
      </c>
      <c r="B56" t="s">
        <v>114</v>
      </c>
      <c r="C56" t="s">
        <v>115</v>
      </c>
      <c r="D56" s="1">
        <v>2.2069469528639843E-25</v>
      </c>
      <c r="E56">
        <v>3.43E-10</v>
      </c>
      <c r="F56">
        <v>1</v>
      </c>
      <c r="G56" s="1">
        <f>F56*Constants!$B$2</f>
        <v>1.5999999999999999E-19</v>
      </c>
      <c r="H56" s="1">
        <f>D56-F56*Constants!$B$3/Constants!$B$1</f>
        <v>2.2069378434787696E-25</v>
      </c>
      <c r="I56">
        <v>1.6699999999999999E-10</v>
      </c>
      <c r="J56">
        <f t="shared" si="0"/>
        <v>3.1478758388969725E-12</v>
      </c>
    </row>
    <row r="57" spans="1:10" x14ac:dyDescent="0.25">
      <c r="A57">
        <f t="shared" si="1"/>
        <v>56</v>
      </c>
      <c r="B57" t="s">
        <v>116</v>
      </c>
      <c r="C57" t="s">
        <v>117</v>
      </c>
      <c r="D57" s="1">
        <v>2.2804183009498442E-25</v>
      </c>
      <c r="E57">
        <v>2.6800000000000001E-10</v>
      </c>
      <c r="F57">
        <v>2</v>
      </c>
      <c r="G57" s="1">
        <f>F57*Constants!$B$2</f>
        <v>3.1999999999999998E-19</v>
      </c>
      <c r="H57" s="1">
        <f>D57-F57*Constants!$B$3/Constants!$B$1</f>
        <v>2.280400082179415E-25</v>
      </c>
      <c r="I57">
        <v>1.35E-10</v>
      </c>
      <c r="J57">
        <f t="shared" si="0"/>
        <v>2.5446900494077324E-12</v>
      </c>
    </row>
    <row r="58" spans="1:10" x14ac:dyDescent="0.25">
      <c r="A58">
        <f t="shared" si="1"/>
        <v>57</v>
      </c>
      <c r="B58" t="s">
        <v>118</v>
      </c>
      <c r="C58" t="s">
        <v>119</v>
      </c>
      <c r="D58" s="1">
        <v>2.3065800939531677E-25</v>
      </c>
      <c r="E58">
        <v>2.4E-10</v>
      </c>
      <c r="G58" s="1"/>
      <c r="H58" s="1"/>
      <c r="J58">
        <f t="shared" si="0"/>
        <v>0</v>
      </c>
    </row>
    <row r="59" spans="1:10" x14ac:dyDescent="0.25">
      <c r="A59">
        <f t="shared" si="1"/>
        <v>58</v>
      </c>
      <c r="B59" t="s">
        <v>120</v>
      </c>
      <c r="C59" t="s">
        <v>121</v>
      </c>
      <c r="D59" s="1">
        <v>2.3266809193613072E-25</v>
      </c>
      <c r="E59">
        <v>2.3500000000000002E-10</v>
      </c>
      <c r="G59" s="1"/>
      <c r="H59" s="1"/>
      <c r="J59">
        <f t="shared" si="0"/>
        <v>0</v>
      </c>
    </row>
    <row r="60" spans="1:10" x14ac:dyDescent="0.25">
      <c r="A60">
        <f t="shared" si="1"/>
        <v>59</v>
      </c>
      <c r="B60" t="s">
        <v>122</v>
      </c>
      <c r="C60" t="s">
        <v>123</v>
      </c>
      <c r="D60" s="1">
        <v>2.3398267429404954E-25</v>
      </c>
      <c r="E60">
        <v>2.39E-10</v>
      </c>
      <c r="G60" s="1"/>
      <c r="H60" s="1"/>
      <c r="J60">
        <f t="shared" si="0"/>
        <v>0</v>
      </c>
    </row>
    <row r="61" spans="1:10" x14ac:dyDescent="0.25">
      <c r="A61">
        <f t="shared" si="1"/>
        <v>60</v>
      </c>
      <c r="B61" t="s">
        <v>124</v>
      </c>
      <c r="C61" t="s">
        <v>125</v>
      </c>
      <c r="D61" s="1">
        <v>2.3951615504915565E-25</v>
      </c>
      <c r="E61">
        <v>2.2899999999999998E-10</v>
      </c>
      <c r="G61" s="1"/>
      <c r="H61" s="1"/>
      <c r="J61">
        <f t="shared" si="0"/>
        <v>0</v>
      </c>
    </row>
    <row r="62" spans="1:10" x14ac:dyDescent="0.25">
      <c r="A62">
        <f t="shared" si="1"/>
        <v>61</v>
      </c>
      <c r="B62" t="s">
        <v>126</v>
      </c>
      <c r="C62" t="s">
        <v>127</v>
      </c>
      <c r="D62" s="1">
        <v>2.4063329931198753E-25</v>
      </c>
      <c r="E62">
        <v>2.3600000000000001E-10</v>
      </c>
      <c r="G62" s="1"/>
      <c r="H62" s="1"/>
      <c r="J62">
        <f t="shared" si="0"/>
        <v>0</v>
      </c>
    </row>
    <row r="63" spans="1:10" x14ac:dyDescent="0.25">
      <c r="A63">
        <f t="shared" si="1"/>
        <v>62</v>
      </c>
      <c r="B63" t="s">
        <v>128</v>
      </c>
      <c r="C63" t="s">
        <v>129</v>
      </c>
      <c r="D63" s="1">
        <v>2.4974507570294654E-25</v>
      </c>
      <c r="E63">
        <v>2.2899999999999998E-10</v>
      </c>
      <c r="G63" s="1"/>
      <c r="H63" s="1"/>
      <c r="J63">
        <f t="shared" si="0"/>
        <v>0</v>
      </c>
    </row>
    <row r="64" spans="1:10" x14ac:dyDescent="0.25">
      <c r="A64">
        <f t="shared" si="1"/>
        <v>63</v>
      </c>
      <c r="B64" t="s">
        <v>130</v>
      </c>
      <c r="C64" t="s">
        <v>131</v>
      </c>
      <c r="D64" s="1">
        <v>2.5234215880400644E-25</v>
      </c>
      <c r="E64">
        <v>2.3299999999999997E-10</v>
      </c>
      <c r="G64" s="1"/>
      <c r="H64" s="1"/>
      <c r="J64">
        <f t="shared" si="0"/>
        <v>0</v>
      </c>
    </row>
    <row r="65" spans="1:10" x14ac:dyDescent="0.25">
      <c r="A65">
        <f t="shared" si="1"/>
        <v>64</v>
      </c>
      <c r="B65" t="s">
        <v>132</v>
      </c>
      <c r="C65" t="s">
        <v>133</v>
      </c>
      <c r="D65" s="1">
        <v>2.6111976831308742E-25</v>
      </c>
      <c r="E65">
        <v>2.3700000000000001E-10</v>
      </c>
      <c r="G65" s="1"/>
      <c r="H65" s="1"/>
      <c r="J65">
        <f t="shared" si="0"/>
        <v>0</v>
      </c>
    </row>
    <row r="66" spans="1:10" x14ac:dyDescent="0.25">
      <c r="A66">
        <f t="shared" si="1"/>
        <v>65</v>
      </c>
      <c r="B66" t="s">
        <v>134</v>
      </c>
      <c r="C66" t="s">
        <v>135</v>
      </c>
      <c r="D66" s="1">
        <v>2.6390175243927712E-25</v>
      </c>
      <c r="E66">
        <v>2.2099999999999999E-10</v>
      </c>
      <c r="G66" s="1"/>
      <c r="H66" s="1"/>
      <c r="J66">
        <f t="shared" si="0"/>
        <v>0</v>
      </c>
    </row>
    <row r="67" spans="1:10" x14ac:dyDescent="0.25">
      <c r="A67">
        <f t="shared" si="1"/>
        <v>66</v>
      </c>
      <c r="B67" t="s">
        <v>136</v>
      </c>
      <c r="C67" t="s">
        <v>137</v>
      </c>
      <c r="D67" s="1">
        <v>2.6983759841575012E-25</v>
      </c>
      <c r="E67">
        <v>2.2899999999999998E-10</v>
      </c>
      <c r="G67" s="1"/>
      <c r="H67" s="1"/>
      <c r="J67">
        <f t="shared" ref="J67:J125" si="2">6*PI()*0.001*I67</f>
        <v>0</v>
      </c>
    </row>
    <row r="68" spans="1:10" x14ac:dyDescent="0.25">
      <c r="A68">
        <f t="shared" ref="A68:A119" si="3">A67+1</f>
        <v>67</v>
      </c>
      <c r="B68" t="s">
        <v>138</v>
      </c>
      <c r="C68" t="s">
        <v>139</v>
      </c>
      <c r="D68" s="1">
        <v>2.7387325632687471E-25</v>
      </c>
      <c r="E68">
        <v>2.16E-10</v>
      </c>
      <c r="G68" s="1"/>
      <c r="H68" s="1"/>
      <c r="J68">
        <f t="shared" si="2"/>
        <v>0</v>
      </c>
    </row>
    <row r="69" spans="1:10" x14ac:dyDescent="0.25">
      <c r="A69">
        <f t="shared" si="3"/>
        <v>68</v>
      </c>
      <c r="B69" t="s">
        <v>140</v>
      </c>
      <c r="C69" t="s">
        <v>141</v>
      </c>
      <c r="D69" s="1">
        <v>2.7774176437549759E-25</v>
      </c>
      <c r="E69">
        <v>2.3500000000000002E-10</v>
      </c>
      <c r="G69" s="1"/>
      <c r="H69" s="1"/>
      <c r="J69">
        <f t="shared" si="2"/>
        <v>0</v>
      </c>
    </row>
    <row r="70" spans="1:10" x14ac:dyDescent="0.25">
      <c r="A70">
        <f t="shared" si="3"/>
        <v>69</v>
      </c>
      <c r="B70" t="s">
        <v>142</v>
      </c>
      <c r="C70" t="s">
        <v>143</v>
      </c>
      <c r="D70" s="1">
        <v>2.8052187209254143E-25</v>
      </c>
      <c r="E70">
        <v>2.2699999999999999E-10</v>
      </c>
      <c r="G70" s="1"/>
      <c r="H70" s="1"/>
      <c r="J70">
        <f t="shared" si="2"/>
        <v>0</v>
      </c>
    </row>
    <row r="71" spans="1:10" x14ac:dyDescent="0.25">
      <c r="A71">
        <f t="shared" si="3"/>
        <v>70</v>
      </c>
      <c r="B71" t="s">
        <v>144</v>
      </c>
      <c r="C71" t="s">
        <v>145</v>
      </c>
      <c r="D71" s="1">
        <v>2.8735628557443415E-25</v>
      </c>
      <c r="E71">
        <v>2.4199999999999999E-10</v>
      </c>
      <c r="G71" s="1"/>
      <c r="H71" s="1"/>
      <c r="J71">
        <f t="shared" si="2"/>
        <v>0</v>
      </c>
    </row>
    <row r="72" spans="1:10" x14ac:dyDescent="0.25">
      <c r="A72">
        <f t="shared" si="3"/>
        <v>71</v>
      </c>
      <c r="B72" t="s">
        <v>146</v>
      </c>
      <c r="C72" t="s">
        <v>147</v>
      </c>
      <c r="D72" s="1">
        <v>2.905390408044863E-25</v>
      </c>
      <c r="E72">
        <v>2.2099999999999999E-10</v>
      </c>
      <c r="G72" s="1"/>
      <c r="H72" s="1"/>
      <c r="J72">
        <f t="shared" si="2"/>
        <v>0</v>
      </c>
    </row>
    <row r="73" spans="1:10" x14ac:dyDescent="0.25">
      <c r="A73">
        <f t="shared" si="3"/>
        <v>72</v>
      </c>
      <c r="B73" t="s">
        <v>148</v>
      </c>
      <c r="C73" t="s">
        <v>149</v>
      </c>
      <c r="D73" s="1">
        <v>2.9638961809985993E-25</v>
      </c>
      <c r="E73">
        <v>2.1199999999999999E-10</v>
      </c>
      <c r="F73">
        <v>4</v>
      </c>
      <c r="G73" s="1">
        <f>F73*Constants!$B$2</f>
        <v>6.3999999999999996E-19</v>
      </c>
      <c r="H73" s="1">
        <f>D73-F73*Constants!$B$3/Constants!$B$1</f>
        <v>2.9638597434577403E-25</v>
      </c>
      <c r="I73">
        <v>7.1E-11</v>
      </c>
      <c r="J73">
        <f t="shared" si="2"/>
        <v>1.338318470429252E-12</v>
      </c>
    </row>
    <row r="74" spans="1:10" x14ac:dyDescent="0.25">
      <c r="A74">
        <f t="shared" si="3"/>
        <v>73</v>
      </c>
      <c r="B74" t="s">
        <v>150</v>
      </c>
      <c r="C74" t="s">
        <v>151</v>
      </c>
      <c r="D74" s="1">
        <v>3.0047105707306649E-25</v>
      </c>
      <c r="E74">
        <v>2.17E-10</v>
      </c>
      <c r="F74">
        <v>3</v>
      </c>
      <c r="G74" s="1">
        <f>F74*Constants!$B$2</f>
        <v>4.7999999999999995E-19</v>
      </c>
      <c r="H74" s="1">
        <f>D74-F74*Constants!$B$3/Constants!$B$1</f>
        <v>3.004683242575021E-25</v>
      </c>
      <c r="I74">
        <v>7.1999999999999997E-11</v>
      </c>
      <c r="J74">
        <f t="shared" si="2"/>
        <v>1.3571680263507906E-12</v>
      </c>
    </row>
    <row r="75" spans="1:10" x14ac:dyDescent="0.25">
      <c r="A75">
        <f t="shared" si="3"/>
        <v>74</v>
      </c>
      <c r="B75" t="s">
        <v>152</v>
      </c>
      <c r="C75" t="s">
        <v>153</v>
      </c>
      <c r="D75" s="1">
        <v>3.0527350210923998E-25</v>
      </c>
      <c r="E75">
        <v>2.1E-10</v>
      </c>
      <c r="F75">
        <v>4</v>
      </c>
      <c r="G75" s="1">
        <f>F75*Constants!$B$2</f>
        <v>6.3999999999999996E-19</v>
      </c>
      <c r="H75" s="1">
        <f>D75-F75*Constants!$B$3/Constants!$B$1</f>
        <v>3.0526985835515408E-25</v>
      </c>
      <c r="I75">
        <v>6.6000000000000005E-11</v>
      </c>
      <c r="J75">
        <f t="shared" si="2"/>
        <v>1.2440706908215583E-12</v>
      </c>
    </row>
    <row r="76" spans="1:10" x14ac:dyDescent="0.25">
      <c r="A76">
        <f t="shared" si="3"/>
        <v>75</v>
      </c>
      <c r="B76" t="s">
        <v>154</v>
      </c>
      <c r="C76" t="s">
        <v>155</v>
      </c>
      <c r="D76" s="1">
        <v>3.0920399808124049E-25</v>
      </c>
      <c r="E76">
        <v>2.17E-10</v>
      </c>
      <c r="F76">
        <v>4</v>
      </c>
      <c r="G76" s="1">
        <f>F76*Constants!$B$2</f>
        <v>6.3999999999999996E-19</v>
      </c>
      <c r="H76" s="1">
        <f>D76-F76*Constants!$B$3/Constants!$B$1</f>
        <v>3.0920035432715459E-25</v>
      </c>
      <c r="I76">
        <v>6.3000000000000002E-11</v>
      </c>
      <c r="J76">
        <f t="shared" si="2"/>
        <v>1.1875220230569418E-12</v>
      </c>
    </row>
    <row r="77" spans="1:10" x14ac:dyDescent="0.25">
      <c r="A77">
        <f t="shared" si="3"/>
        <v>76</v>
      </c>
      <c r="B77" t="s">
        <v>156</v>
      </c>
      <c r="C77" t="s">
        <v>157</v>
      </c>
      <c r="D77" s="1">
        <v>3.1583453057646563E-25</v>
      </c>
      <c r="E77">
        <v>2.16E-10</v>
      </c>
      <c r="F77">
        <v>4</v>
      </c>
      <c r="G77" s="1">
        <f>F77*Constants!$B$2</f>
        <v>6.3999999999999996E-19</v>
      </c>
      <c r="H77" s="1">
        <f>D77-F77*Constants!$B$3/Constants!$B$1</f>
        <v>3.1583088682237973E-25</v>
      </c>
      <c r="I77">
        <v>6.3000000000000002E-11</v>
      </c>
      <c r="J77">
        <f t="shared" si="2"/>
        <v>1.1875220230569418E-12</v>
      </c>
    </row>
    <row r="78" spans="1:10" x14ac:dyDescent="0.25">
      <c r="A78">
        <f t="shared" si="3"/>
        <v>77</v>
      </c>
      <c r="B78" t="s">
        <v>158</v>
      </c>
      <c r="C78" t="s">
        <v>159</v>
      </c>
      <c r="D78" s="1">
        <v>3.191888194921568E-25</v>
      </c>
      <c r="E78">
        <v>2.02E-10</v>
      </c>
      <c r="F78">
        <v>3</v>
      </c>
      <c r="G78" s="1">
        <f>F78*Constants!$B$2</f>
        <v>4.7999999999999995E-19</v>
      </c>
      <c r="H78" s="1">
        <f>D78-F78*Constants!$B$3/Constants!$B$1</f>
        <v>3.1918608667659241E-25</v>
      </c>
      <c r="I78">
        <v>6.7999999999999998E-11</v>
      </c>
      <c r="J78">
        <f t="shared" si="2"/>
        <v>1.2817698026646355E-12</v>
      </c>
    </row>
    <row r="79" spans="1:10" x14ac:dyDescent="0.25">
      <c r="A79">
        <f t="shared" si="3"/>
        <v>78</v>
      </c>
      <c r="B79" t="s">
        <v>160</v>
      </c>
      <c r="C79" t="s">
        <v>161</v>
      </c>
      <c r="D79" s="1">
        <v>3.2393796122427404E-25</v>
      </c>
      <c r="E79">
        <v>2.09E-10</v>
      </c>
      <c r="F79">
        <v>2</v>
      </c>
      <c r="G79" s="1">
        <f>F79*Constants!$B$2</f>
        <v>3.1999999999999998E-19</v>
      </c>
      <c r="H79" s="1">
        <f>D79-F79*Constants!$B$3/Constants!$B$1</f>
        <v>3.2393613934723112E-25</v>
      </c>
      <c r="I79">
        <v>7.9999999999999995E-11</v>
      </c>
      <c r="J79">
        <f t="shared" si="2"/>
        <v>1.5079644737231006E-12</v>
      </c>
    </row>
    <row r="80" spans="1:10" x14ac:dyDescent="0.25">
      <c r="A80">
        <f t="shared" si="3"/>
        <v>79</v>
      </c>
      <c r="B80" t="s">
        <v>162</v>
      </c>
      <c r="C80" t="s">
        <v>163</v>
      </c>
      <c r="D80" s="1">
        <v>3.2707068441223213E-25</v>
      </c>
      <c r="E80">
        <v>1.66E-10</v>
      </c>
      <c r="F80">
        <v>1</v>
      </c>
      <c r="G80" s="1">
        <f>F80*Constants!$B$2</f>
        <v>1.5999999999999999E-19</v>
      </c>
      <c r="H80" s="1">
        <f>D80-F80*Constants!$B$3/Constants!$B$1</f>
        <v>3.2706977347371066E-25</v>
      </c>
      <c r="I80">
        <v>1.3699999999999999E-10</v>
      </c>
      <c r="J80">
        <f t="shared" si="2"/>
        <v>2.5823891612508096E-12</v>
      </c>
    </row>
    <row r="81" spans="1:10" x14ac:dyDescent="0.25">
      <c r="A81">
        <f t="shared" si="3"/>
        <v>80</v>
      </c>
      <c r="B81" t="s">
        <v>164</v>
      </c>
      <c r="C81" t="s">
        <v>165</v>
      </c>
      <c r="D81" s="1">
        <v>3.330875314844019E-25</v>
      </c>
      <c r="E81">
        <v>2.09E-10</v>
      </c>
      <c r="F81">
        <v>2</v>
      </c>
      <c r="G81" s="1">
        <f>F81*Constants!$B$2</f>
        <v>3.1999999999999998E-19</v>
      </c>
      <c r="H81" s="1">
        <f>D81-F81*Constants!$B$3/Constants!$B$1</f>
        <v>3.3308570960735897E-25</v>
      </c>
      <c r="I81">
        <v>1.02E-10</v>
      </c>
      <c r="J81">
        <f t="shared" si="2"/>
        <v>1.9226547039969533E-12</v>
      </c>
    </row>
    <row r="82" spans="1:10" x14ac:dyDescent="0.25">
      <c r="A82">
        <f t="shared" si="3"/>
        <v>81</v>
      </c>
      <c r="B82" t="s">
        <v>166</v>
      </c>
      <c r="C82" t="s">
        <v>167</v>
      </c>
      <c r="D82" s="1">
        <v>3.3938595616619233E-25</v>
      </c>
      <c r="E82">
        <v>1.96E-10</v>
      </c>
      <c r="F82">
        <v>3</v>
      </c>
      <c r="G82" s="1">
        <f>F82*Constants!$B$2</f>
        <v>4.7999999999999995E-19</v>
      </c>
      <c r="H82" s="1">
        <f>D82-F82*Constants!$B$3/Constants!$B$1</f>
        <v>3.3938322335062794E-25</v>
      </c>
      <c r="I82">
        <v>8.8500000000000005E-11</v>
      </c>
      <c r="J82">
        <f t="shared" si="2"/>
        <v>1.6681856990561802E-12</v>
      </c>
    </row>
    <row r="83" spans="1:10" x14ac:dyDescent="0.25">
      <c r="A83">
        <f t="shared" si="3"/>
        <v>82</v>
      </c>
      <c r="B83" t="s">
        <v>168</v>
      </c>
      <c r="C83" t="s">
        <v>169</v>
      </c>
      <c r="D83" s="1">
        <v>3.4373158690498622E-25</v>
      </c>
      <c r="E83">
        <v>2.02E-10</v>
      </c>
      <c r="F83">
        <v>4</v>
      </c>
      <c r="G83" s="1">
        <f>F83*Constants!$B$2</f>
        <v>6.3999999999999996E-19</v>
      </c>
      <c r="H83" s="1">
        <f>D83-F83*Constants!$B$3/Constants!$B$1</f>
        <v>3.4372794315090032E-25</v>
      </c>
      <c r="I83">
        <v>7.7500000000000004E-11</v>
      </c>
      <c r="J83">
        <f t="shared" si="2"/>
        <v>1.4608405839192539E-12</v>
      </c>
    </row>
    <row r="84" spans="1:10" x14ac:dyDescent="0.25">
      <c r="A84">
        <f t="shared" si="3"/>
        <v>83</v>
      </c>
      <c r="B84" t="s">
        <v>170</v>
      </c>
      <c r="C84" t="s">
        <v>171</v>
      </c>
      <c r="D84" s="1">
        <v>3.4702011847361732E-25</v>
      </c>
      <c r="E84">
        <v>2.0699999999999998E-10</v>
      </c>
      <c r="F84">
        <v>3</v>
      </c>
      <c r="G84" s="1">
        <f>F84*Constants!$B$2</f>
        <v>4.7999999999999995E-19</v>
      </c>
      <c r="H84" s="1">
        <f>D84-F84*Constants!$B$3/Constants!$B$1</f>
        <v>3.4701738565805293E-25</v>
      </c>
      <c r="I84">
        <v>1.0299999999999999E-10</v>
      </c>
      <c r="J84">
        <f t="shared" si="2"/>
        <v>1.9415042599184919E-12</v>
      </c>
    </row>
    <row r="85" spans="1:10" x14ac:dyDescent="0.25">
      <c r="A85">
        <f t="shared" si="3"/>
        <v>84</v>
      </c>
      <c r="B85" t="s">
        <v>172</v>
      </c>
      <c r="C85" t="s">
        <v>173</v>
      </c>
      <c r="D85" s="1">
        <v>3.4702348936792371E-25</v>
      </c>
      <c r="E85">
        <v>1.9699999999999999E-10</v>
      </c>
      <c r="G85" s="1"/>
      <c r="H85" s="1"/>
      <c r="J85">
        <f t="shared" si="2"/>
        <v>0</v>
      </c>
    </row>
    <row r="86" spans="1:10" x14ac:dyDescent="0.25">
      <c r="A86">
        <f t="shared" si="3"/>
        <v>85</v>
      </c>
      <c r="B86" t="s">
        <v>174</v>
      </c>
      <c r="C86" t="s">
        <v>175</v>
      </c>
      <c r="D86" s="1">
        <v>3.4869186617949462E-25</v>
      </c>
      <c r="E86">
        <v>2.02E-10</v>
      </c>
      <c r="G86" s="1"/>
      <c r="H86" s="1"/>
      <c r="J86">
        <f t="shared" si="2"/>
        <v>0</v>
      </c>
    </row>
    <row r="87" spans="1:10" x14ac:dyDescent="0.25">
      <c r="A87">
        <f t="shared" si="3"/>
        <v>86</v>
      </c>
      <c r="B87" t="s">
        <v>176</v>
      </c>
      <c r="C87" t="s">
        <v>177</v>
      </c>
      <c r="D87" s="1">
        <v>3.6866886518939494E-25</v>
      </c>
      <c r="E87">
        <v>2.1999999999999999E-10</v>
      </c>
      <c r="G87" s="1"/>
      <c r="H87" s="1"/>
      <c r="J87">
        <f t="shared" si="2"/>
        <v>0</v>
      </c>
    </row>
    <row r="88" spans="1:10" x14ac:dyDescent="0.25">
      <c r="A88">
        <f t="shared" si="3"/>
        <v>87</v>
      </c>
      <c r="B88" t="s">
        <v>178</v>
      </c>
      <c r="C88" t="s">
        <v>179</v>
      </c>
      <c r="D88" s="1">
        <v>3.7033297441556318E-25</v>
      </c>
      <c r="E88">
        <v>3.4799999999999999E-10</v>
      </c>
      <c r="G88" s="1"/>
      <c r="H88" s="1"/>
      <c r="J88">
        <f t="shared" si="2"/>
        <v>0</v>
      </c>
    </row>
    <row r="89" spans="1:10" x14ac:dyDescent="0.25">
      <c r="A89">
        <f t="shared" si="3"/>
        <v>88</v>
      </c>
      <c r="B89" t="s">
        <v>180</v>
      </c>
      <c r="C89" t="s">
        <v>181</v>
      </c>
      <c r="D89" s="1">
        <v>3.7532402347898622E-25</v>
      </c>
      <c r="E89">
        <v>2.8300000000000001E-10</v>
      </c>
      <c r="G89" s="1"/>
      <c r="H89" s="1"/>
      <c r="J89">
        <f t="shared" si="2"/>
        <v>0</v>
      </c>
    </row>
    <row r="90" spans="1:10" x14ac:dyDescent="0.25">
      <c r="A90">
        <f t="shared" si="3"/>
        <v>89</v>
      </c>
      <c r="B90" t="s">
        <v>182</v>
      </c>
      <c r="C90" t="s">
        <v>183</v>
      </c>
      <c r="D90" s="1">
        <v>3.7698844820757727E-25</v>
      </c>
      <c r="E90">
        <v>2.5999999999999998E-10</v>
      </c>
      <c r="G90" s="1"/>
      <c r="H90" s="1"/>
      <c r="J90">
        <f t="shared" si="2"/>
        <v>0</v>
      </c>
    </row>
    <row r="91" spans="1:10" x14ac:dyDescent="0.25">
      <c r="A91">
        <f t="shared" si="3"/>
        <v>90</v>
      </c>
      <c r="B91" t="s">
        <v>184</v>
      </c>
      <c r="C91" t="s">
        <v>185</v>
      </c>
      <c r="D91" s="1">
        <v>3.8530816406888505E-25</v>
      </c>
      <c r="E91">
        <v>2.3700000000000001E-10</v>
      </c>
      <c r="G91" s="1"/>
      <c r="H91" s="1"/>
      <c r="J91">
        <f t="shared" si="2"/>
        <v>0</v>
      </c>
    </row>
    <row r="92" spans="1:10" x14ac:dyDescent="0.25">
      <c r="A92">
        <f t="shared" si="3"/>
        <v>91</v>
      </c>
      <c r="B92" t="s">
        <v>186</v>
      </c>
      <c r="C92" t="s">
        <v>187</v>
      </c>
      <c r="D92" s="1">
        <v>3.8364410465888877E-25</v>
      </c>
      <c r="E92">
        <v>2.4299999999999999E-10</v>
      </c>
      <c r="G92" s="1"/>
      <c r="H92" s="1"/>
      <c r="J92">
        <f t="shared" si="2"/>
        <v>0</v>
      </c>
    </row>
    <row r="93" spans="1:10" x14ac:dyDescent="0.25">
      <c r="A93">
        <f t="shared" si="3"/>
        <v>92</v>
      </c>
      <c r="B93" t="s">
        <v>188</v>
      </c>
      <c r="C93" t="s">
        <v>189</v>
      </c>
      <c r="D93" s="1">
        <v>3.9525628756641684E-25</v>
      </c>
      <c r="E93">
        <v>2.4E-10</v>
      </c>
      <c r="G93" s="1"/>
      <c r="H93" s="1"/>
      <c r="J93">
        <f t="shared" si="2"/>
        <v>0</v>
      </c>
    </row>
    <row r="94" spans="1:10" x14ac:dyDescent="0.25">
      <c r="A94">
        <f t="shared" si="3"/>
        <v>93</v>
      </c>
      <c r="B94" t="s">
        <v>190</v>
      </c>
      <c r="C94" t="s">
        <v>191</v>
      </c>
      <c r="D94" s="1">
        <v>3.9362775040814556E-25</v>
      </c>
      <c r="E94">
        <v>2.2099999999999999E-10</v>
      </c>
      <c r="G94" s="1"/>
      <c r="H94" s="1"/>
      <c r="J94">
        <f t="shared" si="2"/>
        <v>0</v>
      </c>
    </row>
    <row r="95" spans="1:10" x14ac:dyDescent="0.25">
      <c r="A95">
        <f t="shared" si="3"/>
        <v>94</v>
      </c>
      <c r="B95" t="s">
        <v>192</v>
      </c>
      <c r="C95" t="s">
        <v>193</v>
      </c>
      <c r="D95" s="1">
        <v>4.0527813899853116E-25</v>
      </c>
      <c r="E95">
        <v>2.4299999999999999E-10</v>
      </c>
      <c r="G95" s="1"/>
      <c r="H95" s="1"/>
      <c r="J95">
        <f t="shared" si="2"/>
        <v>0</v>
      </c>
    </row>
    <row r="96" spans="1:10" x14ac:dyDescent="0.25">
      <c r="A96">
        <f t="shared" si="3"/>
        <v>95</v>
      </c>
      <c r="B96" t="s">
        <v>194</v>
      </c>
      <c r="C96" t="s">
        <v>195</v>
      </c>
      <c r="D96" s="1">
        <v>4.0361291721118794E-25</v>
      </c>
      <c r="E96">
        <v>2.4399999999999998E-10</v>
      </c>
      <c r="G96" s="1"/>
      <c r="H96" s="1"/>
      <c r="J96">
        <f t="shared" si="2"/>
        <v>0</v>
      </c>
    </row>
    <row r="97" spans="1:10" x14ac:dyDescent="0.25">
      <c r="A97">
        <f t="shared" si="3"/>
        <v>96</v>
      </c>
      <c r="B97" t="s">
        <v>196</v>
      </c>
      <c r="C97" t="s">
        <v>197</v>
      </c>
      <c r="D97" s="1">
        <v>4.102699685153158E-25</v>
      </c>
      <c r="E97">
        <v>2.4499999999999998E-10</v>
      </c>
      <c r="G97" s="1"/>
      <c r="H97" s="1"/>
      <c r="J97">
        <f t="shared" si="2"/>
        <v>0</v>
      </c>
    </row>
    <row r="98" spans="1:10" x14ac:dyDescent="0.25">
      <c r="A98">
        <f t="shared" si="3"/>
        <v>97</v>
      </c>
      <c r="B98" t="s">
        <v>198</v>
      </c>
      <c r="C98" t="s">
        <v>199</v>
      </c>
      <c r="D98" s="1">
        <v>4.1026990209375312E-25</v>
      </c>
      <c r="E98">
        <v>2.4399999999999998E-10</v>
      </c>
      <c r="G98" s="1"/>
      <c r="H98" s="1"/>
      <c r="J98">
        <f t="shared" si="2"/>
        <v>0</v>
      </c>
    </row>
    <row r="99" spans="1:10" x14ac:dyDescent="0.25">
      <c r="A99">
        <f t="shared" si="3"/>
        <v>98</v>
      </c>
      <c r="B99" t="s">
        <v>200</v>
      </c>
      <c r="C99" t="s">
        <v>201</v>
      </c>
      <c r="D99" s="1">
        <v>4.1692746816499188E-25</v>
      </c>
      <c r="E99">
        <v>2.4499999999999998E-10</v>
      </c>
      <c r="G99" s="1"/>
      <c r="H99" s="1"/>
      <c r="J99">
        <f t="shared" si="2"/>
        <v>0</v>
      </c>
    </row>
    <row r="100" spans="1:10" x14ac:dyDescent="0.25">
      <c r="A100">
        <f t="shared" si="3"/>
        <v>99</v>
      </c>
      <c r="B100" t="s">
        <v>202</v>
      </c>
      <c r="C100" t="s">
        <v>203</v>
      </c>
      <c r="D100" s="1">
        <v>4.1859366967038474E-25</v>
      </c>
      <c r="E100">
        <v>2.4499999999999998E-10</v>
      </c>
      <c r="G100" s="1"/>
      <c r="H100" s="1"/>
      <c r="J100">
        <f t="shared" si="2"/>
        <v>0</v>
      </c>
    </row>
    <row r="101" spans="1:10" x14ac:dyDescent="0.25">
      <c r="A101">
        <f t="shared" si="3"/>
        <v>100</v>
      </c>
      <c r="B101" t="s">
        <v>204</v>
      </c>
      <c r="C101" t="s">
        <v>205</v>
      </c>
      <c r="D101" s="1">
        <v>4.2691647413435752E-25</v>
      </c>
      <c r="E101">
        <v>0</v>
      </c>
      <c r="G101" s="1"/>
      <c r="H101" s="1"/>
      <c r="J101">
        <f t="shared" si="2"/>
        <v>0</v>
      </c>
    </row>
    <row r="102" spans="1:10" x14ac:dyDescent="0.25">
      <c r="A102">
        <f t="shared" si="3"/>
        <v>101</v>
      </c>
      <c r="B102" t="s">
        <v>206</v>
      </c>
      <c r="C102" t="s">
        <v>207</v>
      </c>
      <c r="D102" s="1">
        <v>4.285825261912344E-25</v>
      </c>
      <c r="E102">
        <v>0</v>
      </c>
      <c r="G102" s="1"/>
      <c r="H102" s="1"/>
      <c r="J102">
        <f t="shared" si="2"/>
        <v>0</v>
      </c>
    </row>
    <row r="103" spans="1:10" x14ac:dyDescent="0.25">
      <c r="A103">
        <f t="shared" si="3"/>
        <v>102</v>
      </c>
      <c r="B103" t="s">
        <v>208</v>
      </c>
      <c r="C103" t="s">
        <v>209</v>
      </c>
      <c r="D103" s="1">
        <v>4.3024733284381085E-25</v>
      </c>
      <c r="E103">
        <v>0</v>
      </c>
      <c r="G103" s="1"/>
      <c r="H103" s="1"/>
      <c r="J103">
        <f t="shared" si="2"/>
        <v>0</v>
      </c>
    </row>
    <row r="104" spans="1:10" x14ac:dyDescent="0.25">
      <c r="A104">
        <f t="shared" si="3"/>
        <v>103</v>
      </c>
      <c r="B104" t="s">
        <v>210</v>
      </c>
      <c r="C104" t="s">
        <v>211</v>
      </c>
      <c r="D104" s="1">
        <v>4.4190265655630408E-25</v>
      </c>
      <c r="E104">
        <v>0</v>
      </c>
      <c r="G104" s="1"/>
      <c r="H104" s="1"/>
      <c r="J104">
        <f t="shared" si="2"/>
        <v>0</v>
      </c>
    </row>
    <row r="105" spans="1:10" x14ac:dyDescent="0.25">
      <c r="A105">
        <f t="shared" si="3"/>
        <v>104</v>
      </c>
      <c r="B105" t="s">
        <v>212</v>
      </c>
      <c r="C105" t="s">
        <v>213</v>
      </c>
      <c r="D105" s="1">
        <v>4.4356651670161224E-25</v>
      </c>
      <c r="E105">
        <v>0</v>
      </c>
      <c r="G105" s="1"/>
      <c r="H105" s="1"/>
      <c r="J105">
        <f t="shared" si="2"/>
        <v>0</v>
      </c>
    </row>
    <row r="106" spans="1:10" x14ac:dyDescent="0.25">
      <c r="A106">
        <f t="shared" si="3"/>
        <v>105</v>
      </c>
      <c r="B106" t="s">
        <v>214</v>
      </c>
      <c r="C106" t="s">
        <v>215</v>
      </c>
      <c r="D106" s="1">
        <v>4.4523369792505482E-25</v>
      </c>
      <c r="E106">
        <v>0</v>
      </c>
      <c r="G106" s="1"/>
      <c r="H106" s="1"/>
      <c r="J106">
        <f t="shared" si="2"/>
        <v>0</v>
      </c>
    </row>
    <row r="107" spans="1:10" x14ac:dyDescent="0.25">
      <c r="A107">
        <f t="shared" si="3"/>
        <v>106</v>
      </c>
      <c r="B107" t="s">
        <v>216</v>
      </c>
      <c r="C107" t="s">
        <v>217</v>
      </c>
      <c r="D107" s="1">
        <v>4.4689755807036297E-25</v>
      </c>
      <c r="E107">
        <v>0</v>
      </c>
      <c r="G107" s="1"/>
      <c r="H107" s="1"/>
      <c r="J107">
        <f t="shared" si="2"/>
        <v>0</v>
      </c>
    </row>
    <row r="108" spans="1:10" x14ac:dyDescent="0.25">
      <c r="A108">
        <f t="shared" si="3"/>
        <v>107</v>
      </c>
      <c r="B108" t="s">
        <v>218</v>
      </c>
      <c r="C108" t="s">
        <v>219</v>
      </c>
      <c r="D108" s="1">
        <v>4.4856639983287267E-25</v>
      </c>
      <c r="E108">
        <v>0</v>
      </c>
      <c r="G108" s="1"/>
      <c r="H108" s="1"/>
      <c r="J108">
        <f t="shared" si="2"/>
        <v>0</v>
      </c>
    </row>
    <row r="109" spans="1:10" x14ac:dyDescent="0.25">
      <c r="A109">
        <f t="shared" si="3"/>
        <v>108</v>
      </c>
      <c r="B109" t="s">
        <v>220</v>
      </c>
      <c r="C109" t="s">
        <v>221</v>
      </c>
      <c r="D109" s="1">
        <v>4.4690685708913911E-25</v>
      </c>
      <c r="E109">
        <v>0</v>
      </c>
      <c r="G109" s="1"/>
      <c r="H109" s="1"/>
      <c r="J109">
        <f t="shared" si="2"/>
        <v>0</v>
      </c>
    </row>
    <row r="110" spans="1:10" x14ac:dyDescent="0.25">
      <c r="A110">
        <f t="shared" si="3"/>
        <v>109</v>
      </c>
      <c r="B110" t="s">
        <v>222</v>
      </c>
      <c r="C110" t="s">
        <v>223</v>
      </c>
      <c r="D110" s="1">
        <v>4.6022504462350024E-25</v>
      </c>
      <c r="E110">
        <v>0</v>
      </c>
      <c r="G110" s="1"/>
      <c r="H110" s="1"/>
      <c r="J110">
        <f t="shared" si="2"/>
        <v>0</v>
      </c>
    </row>
    <row r="111" spans="1:10" x14ac:dyDescent="0.25">
      <c r="A111">
        <f t="shared" si="3"/>
        <v>110</v>
      </c>
      <c r="B111" t="s">
        <v>224</v>
      </c>
      <c r="C111" t="s">
        <v>225</v>
      </c>
      <c r="D111" s="1">
        <v>4.6854766642817562E-25</v>
      </c>
      <c r="E111">
        <v>0</v>
      </c>
      <c r="G111" s="1"/>
      <c r="H111" s="1"/>
      <c r="J111">
        <f t="shared" si="2"/>
        <v>0</v>
      </c>
    </row>
    <row r="112" spans="1:10" x14ac:dyDescent="0.25">
      <c r="A112">
        <f t="shared" si="3"/>
        <v>111</v>
      </c>
      <c r="B112" t="s">
        <v>226</v>
      </c>
      <c r="C112" t="s">
        <v>227</v>
      </c>
      <c r="D112" s="1">
        <v>4.6855264804537717E-25</v>
      </c>
      <c r="E112">
        <v>0</v>
      </c>
      <c r="G112" s="1"/>
      <c r="H112" s="1"/>
      <c r="J112">
        <f t="shared" si="2"/>
        <v>0</v>
      </c>
    </row>
    <row r="113" spans="1:10" x14ac:dyDescent="0.25">
      <c r="A113">
        <f t="shared" si="3"/>
        <v>112</v>
      </c>
      <c r="B113" t="s">
        <v>228</v>
      </c>
      <c r="C113" t="s">
        <v>229</v>
      </c>
      <c r="D113" s="1">
        <v>4.752114097047443E-25</v>
      </c>
      <c r="E113">
        <v>0</v>
      </c>
      <c r="G113" s="1"/>
      <c r="H113" s="1"/>
      <c r="J113">
        <f t="shared" si="2"/>
        <v>0</v>
      </c>
    </row>
    <row r="114" spans="1:10" x14ac:dyDescent="0.25">
      <c r="A114">
        <f t="shared" si="3"/>
        <v>113</v>
      </c>
      <c r="B114" t="s">
        <v>230</v>
      </c>
      <c r="C114" t="s">
        <v>231</v>
      </c>
      <c r="D114" s="1">
        <v>4.7521639132194585E-25</v>
      </c>
      <c r="E114">
        <v>0</v>
      </c>
      <c r="G114" s="1"/>
      <c r="H114" s="1"/>
      <c r="J114">
        <f t="shared" si="2"/>
        <v>0</v>
      </c>
    </row>
    <row r="115" spans="1:10" x14ac:dyDescent="0.25">
      <c r="A115">
        <f t="shared" si="3"/>
        <v>114</v>
      </c>
      <c r="B115" t="s">
        <v>232</v>
      </c>
      <c r="C115" t="s">
        <v>233</v>
      </c>
      <c r="D115" s="1">
        <v>4.8187515298131299E-25</v>
      </c>
      <c r="E115">
        <v>0</v>
      </c>
      <c r="G115" s="1"/>
      <c r="H115" s="1"/>
      <c r="J115">
        <f t="shared" si="2"/>
        <v>0</v>
      </c>
    </row>
    <row r="116" spans="1:10" x14ac:dyDescent="0.25">
      <c r="A116">
        <f t="shared" si="3"/>
        <v>115</v>
      </c>
      <c r="B116" t="s">
        <v>234</v>
      </c>
      <c r="C116" t="s">
        <v>235</v>
      </c>
      <c r="D116" s="1">
        <v>4.8188179513758166E-25</v>
      </c>
      <c r="E116">
        <v>0</v>
      </c>
      <c r="G116" s="1"/>
      <c r="H116" s="1"/>
      <c r="J116">
        <f t="shared" si="2"/>
        <v>0</v>
      </c>
    </row>
    <row r="117" spans="1:10" x14ac:dyDescent="0.25">
      <c r="A117">
        <f t="shared" si="3"/>
        <v>116</v>
      </c>
      <c r="B117" t="s">
        <v>236</v>
      </c>
      <c r="C117" t="s">
        <v>237</v>
      </c>
      <c r="D117" s="1">
        <v>4.8687835719070767E-25</v>
      </c>
      <c r="E117">
        <v>0</v>
      </c>
      <c r="G117" s="1"/>
      <c r="H117" s="1"/>
      <c r="J117">
        <f t="shared" si="2"/>
        <v>0</v>
      </c>
    </row>
    <row r="118" spans="1:10" x14ac:dyDescent="0.25">
      <c r="A118">
        <f t="shared" si="3"/>
        <v>117</v>
      </c>
      <c r="B118" t="s">
        <v>238</v>
      </c>
      <c r="C118" t="s">
        <v>239</v>
      </c>
      <c r="D118" s="1">
        <v>4.8854885949228468E-25</v>
      </c>
      <c r="E118">
        <v>0</v>
      </c>
      <c r="G118" s="1"/>
      <c r="H118" s="1"/>
      <c r="J118">
        <f t="shared" si="2"/>
        <v>0</v>
      </c>
    </row>
    <row r="119" spans="1:10" x14ac:dyDescent="0.25">
      <c r="A119">
        <f t="shared" si="3"/>
        <v>118</v>
      </c>
      <c r="B119" t="s">
        <v>240</v>
      </c>
      <c r="C119" t="s">
        <v>241</v>
      </c>
      <c r="D119" s="1">
        <v>4.9021770125479429E-25</v>
      </c>
      <c r="E119">
        <v>0</v>
      </c>
      <c r="G119" s="1"/>
      <c r="H119" s="1"/>
      <c r="J119">
        <f t="shared" si="2"/>
        <v>0</v>
      </c>
    </row>
    <row r="120" spans="1:10" x14ac:dyDescent="0.25">
      <c r="C120" t="s">
        <v>258</v>
      </c>
      <c r="F120">
        <v>1</v>
      </c>
      <c r="G120" s="1">
        <v>1.131E-15</v>
      </c>
      <c r="H120" s="1">
        <f>5*8.6348E-23+1765*(D48+D34)</f>
        <v>9.674691355474727E-22</v>
      </c>
      <c r="I120" s="1">
        <f>0.000000015</f>
        <v>1.4999999999999999E-8</v>
      </c>
      <c r="J120">
        <f t="shared" si="2"/>
        <v>2.8274333882308136E-10</v>
      </c>
    </row>
    <row r="121" spans="1:10" x14ac:dyDescent="0.25">
      <c r="C121" t="s">
        <v>259</v>
      </c>
      <c r="G121" s="1">
        <f>1075000000000000000*4*PI()*I121^2*-1*Constants!$B$2</f>
        <v>-1.350884841043611E-13</v>
      </c>
      <c r="H121" s="1">
        <f>4/3*PI()*(I121)^3*1055</f>
        <v>6.9049588532025648E-17</v>
      </c>
      <c r="I121" s="1">
        <f>0.0000005/2</f>
        <v>2.4999999999999999E-7</v>
      </c>
      <c r="J121">
        <f t="shared" si="2"/>
        <v>4.7123889803846891E-9</v>
      </c>
    </row>
    <row r="122" spans="1:10" x14ac:dyDescent="0.25">
      <c r="C122" t="s">
        <v>260</v>
      </c>
      <c r="F122" s="1"/>
      <c r="G122" s="1">
        <f>1075000000000000000*4*PI()*I122^2*-1*Constants!$B$2</f>
        <v>-2.1614157456697776E-12</v>
      </c>
      <c r="H122" s="1">
        <f>4/3*PI()*(I122)^3*1055</f>
        <v>4.4191736660496415E-15</v>
      </c>
      <c r="I122" s="1">
        <f>0.000002/2</f>
        <v>9.9999999999999995E-7</v>
      </c>
      <c r="J122">
        <f t="shared" si="2"/>
        <v>1.8849555921538757E-8</v>
      </c>
    </row>
    <row r="123" spans="1:10" x14ac:dyDescent="0.25">
      <c r="C123" t="s">
        <v>268</v>
      </c>
      <c r="F123" s="1"/>
      <c r="G123" s="1">
        <f>1075000000000000000*4*PI()*I123^2*-1*Constants!$B$2</f>
        <v>-1.3508848410436113E-11</v>
      </c>
      <c r="H123" s="1">
        <f t="shared" ref="H123:H125" si="4">4/3*PI()*(I123)^3*1055</f>
        <v>6.9049588532025672E-14</v>
      </c>
      <c r="I123" s="1">
        <f>0.000005/2</f>
        <v>2.5000000000000002E-6</v>
      </c>
      <c r="J123">
        <f t="shared" si="2"/>
        <v>4.71238898038469E-8</v>
      </c>
    </row>
    <row r="124" spans="1:10" x14ac:dyDescent="0.25">
      <c r="C124" t="s">
        <v>269</v>
      </c>
      <c r="F124" s="1"/>
      <c r="G124" s="1">
        <f>1075000000000000000*4*PI()*I124^2*-1*Constants!$B$2</f>
        <v>-5.403539364174445E-11</v>
      </c>
      <c r="H124" s="1">
        <f t="shared" si="4"/>
        <v>5.5239670825620537E-13</v>
      </c>
      <c r="I124" s="1">
        <f>0.00001/2</f>
        <v>5.0000000000000004E-6</v>
      </c>
      <c r="J124">
        <f t="shared" si="2"/>
        <v>9.4247779607693799E-8</v>
      </c>
    </row>
    <row r="125" spans="1:10" x14ac:dyDescent="0.25">
      <c r="C125" t="s">
        <v>270</v>
      </c>
      <c r="F125" s="1"/>
      <c r="G125" s="1">
        <f>1075000000000000000*4*PI()*I125^2*-1*Constants!$B$2</f>
        <v>-1.2157963569392498E-10</v>
      </c>
      <c r="H125" s="1">
        <f t="shared" si="4"/>
        <v>1.8643388903646927E-12</v>
      </c>
      <c r="I125" s="1">
        <f>0.000015/2</f>
        <v>7.5000000000000002E-6</v>
      </c>
      <c r="J125">
        <f t="shared" si="2"/>
        <v>1.4137166941154069E-7</v>
      </c>
    </row>
    <row r="126" spans="1:10" x14ac:dyDescent="0.25">
      <c r="C126" t="s">
        <v>261</v>
      </c>
      <c r="D126" s="1">
        <f>8*$D$7+17*$D$10+3*$D$9+$D$17+$D$2</f>
        <v>8.3049512399640435E-25</v>
      </c>
      <c r="F126">
        <v>-1</v>
      </c>
      <c r="G126" s="1">
        <f>1075000000000000000*4*PI()*I126^2*-1*Constants!$B$2</f>
        <v>0</v>
      </c>
      <c r="H126" s="1">
        <f>D126-$H$2</f>
        <v>8.2882221155521451E-25</v>
      </c>
    </row>
    <row r="127" spans="1:10" x14ac:dyDescent="0.25">
      <c r="C127" t="s">
        <v>263</v>
      </c>
      <c r="D127" s="1">
        <f>8*$D$7+15*$D$10+2*$D$9+$D$2</f>
        <v>6.8757949025422649E-25</v>
      </c>
      <c r="F127">
        <v>-1</v>
      </c>
      <c r="G127" s="1">
        <f>1075000000000000000*4*PI()*I127^2*-1*Constants!$B$2</f>
        <v>0</v>
      </c>
      <c r="H127" s="1">
        <f>D127-$H$2</f>
        <v>6.8590657781303675E-25</v>
      </c>
    </row>
    <row r="128" spans="1:10" x14ac:dyDescent="0.25">
      <c r="D128" s="1"/>
      <c r="G128" s="1"/>
      <c r="H128" s="1"/>
    </row>
    <row r="129" spans="1:10" x14ac:dyDescent="0.25">
      <c r="C129" t="s">
        <v>264</v>
      </c>
      <c r="G129">
        <f>-80*10^-3</f>
        <v>-0.08</v>
      </c>
    </row>
    <row r="130" spans="1:10" x14ac:dyDescent="0.25">
      <c r="C130" t="s">
        <v>265</v>
      </c>
      <c r="G130">
        <f>-350*10^-3</f>
        <v>-0.35000000000000003</v>
      </c>
    </row>
    <row r="132" spans="1:10" x14ac:dyDescent="0.25">
      <c r="A132" t="s">
        <v>0</v>
      </c>
      <c r="B132" t="s">
        <v>7</v>
      </c>
      <c r="C132" t="s">
        <v>242</v>
      </c>
      <c r="D132" t="s">
        <v>243</v>
      </c>
      <c r="E132" t="s">
        <v>246</v>
      </c>
      <c r="F132" t="s">
        <v>1</v>
      </c>
      <c r="G132" t="s">
        <v>247</v>
      </c>
      <c r="H132" t="s">
        <v>244</v>
      </c>
      <c r="I132" t="s">
        <v>245</v>
      </c>
      <c r="J132" t="s">
        <v>256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7BD56-7807-41D0-86CA-58DE83B445AD}">
  <dimension ref="A1:Q120"/>
  <sheetViews>
    <sheetView topLeftCell="C1" workbookViewId="0">
      <selection activeCell="J133" sqref="J133"/>
    </sheetView>
  </sheetViews>
  <sheetFormatPr defaultRowHeight="15" x14ac:dyDescent="0.25"/>
  <cols>
    <col min="1" max="1" width="15.140625" bestFit="1" customWidth="1"/>
    <col min="2" max="2" width="7.5703125" bestFit="1" customWidth="1"/>
    <col min="3" max="3" width="44.140625" bestFit="1" customWidth="1"/>
    <col min="4" max="4" width="16.140625" bestFit="1" customWidth="1"/>
    <col min="5" max="5" width="17.42578125" bestFit="1" customWidth="1"/>
    <col min="6" max="6" width="15" bestFit="1" customWidth="1"/>
    <col min="7" max="7" width="10.140625" bestFit="1" customWidth="1"/>
    <col min="8" max="8" width="14.140625" bestFit="1" customWidth="1"/>
    <col min="9" max="9" width="15.28515625" bestFit="1" customWidth="1"/>
    <col min="10" max="10" width="28.85546875" bestFit="1" customWidth="1"/>
    <col min="12" max="12" width="12" bestFit="1" customWidth="1"/>
    <col min="13" max="13" width="9.28515625" bestFit="1" customWidth="1"/>
    <col min="14" max="14" width="11" bestFit="1" customWidth="1"/>
    <col min="15" max="15" width="10" bestFit="1" customWidth="1"/>
  </cols>
  <sheetData>
    <row r="1" spans="1:17" s="3" customFormat="1" x14ac:dyDescent="0.25">
      <c r="A1" s="3" t="s">
        <v>0</v>
      </c>
      <c r="B1" s="3" t="s">
        <v>7</v>
      </c>
      <c r="C1" s="3" t="s">
        <v>242</v>
      </c>
      <c r="D1" s="3" t="s">
        <v>243</v>
      </c>
      <c r="E1" s="3" t="s">
        <v>246</v>
      </c>
      <c r="F1" s="3" t="s">
        <v>1</v>
      </c>
      <c r="G1" s="3" t="s">
        <v>247</v>
      </c>
      <c r="H1" s="3" t="s">
        <v>244</v>
      </c>
      <c r="I1" s="3" t="s">
        <v>245</v>
      </c>
      <c r="J1" s="3" t="s">
        <v>256</v>
      </c>
    </row>
    <row r="2" spans="1:17" hidden="1" x14ac:dyDescent="0.25">
      <c r="A2">
        <v>1</v>
      </c>
      <c r="B2" t="s">
        <v>8</v>
      </c>
      <c r="C2" s="2" t="s">
        <v>248</v>
      </c>
      <c r="D2" s="1">
        <v>1.6738233797112375E-27</v>
      </c>
      <c r="E2">
        <v>1.2E-10</v>
      </c>
      <c r="F2">
        <v>1</v>
      </c>
      <c r="G2" s="1">
        <f>F2*Constants!$B$2</f>
        <v>1.5999999999999999E-19</v>
      </c>
      <c r="H2" s="1">
        <f>D2-F2*Constants!$B$3/Constants!$B$1</f>
        <v>1.6729124411897674E-27</v>
      </c>
      <c r="J2">
        <f>6*PI()*0.001*I2</f>
        <v>0</v>
      </c>
      <c r="K2">
        <f>H2/G2</f>
        <v>1.0455702757436046E-8</v>
      </c>
      <c r="L2">
        <f>K2^-1</f>
        <v>95641586.529303804</v>
      </c>
      <c r="M2" s="1"/>
    </row>
    <row r="3" spans="1:17" hidden="1" x14ac:dyDescent="0.25">
      <c r="A3">
        <f>A2+1</f>
        <v>2</v>
      </c>
      <c r="B3" t="s">
        <v>9</v>
      </c>
      <c r="C3" t="s">
        <v>10</v>
      </c>
      <c r="D3" s="1">
        <v>6.6464736702700392E-27</v>
      </c>
      <c r="E3">
        <v>1.4000000000000001E-10</v>
      </c>
      <c r="G3" s="1"/>
      <c r="H3" s="1"/>
      <c r="J3">
        <f t="shared" ref="J3:J66" si="0">6*PI()*0.001*I3</f>
        <v>0</v>
      </c>
      <c r="M3" s="1"/>
      <c r="O3" s="1"/>
      <c r="Q3" s="1"/>
    </row>
    <row r="4" spans="1:17" hidden="1" x14ac:dyDescent="0.25">
      <c r="A4">
        <f t="shared" ref="A4:A67" si="1">A3+1</f>
        <v>3</v>
      </c>
      <c r="B4" t="s">
        <v>11</v>
      </c>
      <c r="C4" t="s">
        <v>12</v>
      </c>
      <c r="D4" s="1">
        <v>1.16237734702169E-26</v>
      </c>
      <c r="E4">
        <v>1.8199999999999999E-10</v>
      </c>
      <c r="F4">
        <v>1</v>
      </c>
      <c r="G4" s="1">
        <f>F4*Constants!$B$2</f>
        <v>1.5999999999999999E-19</v>
      </c>
      <c r="H4" s="1">
        <f>D4-F4*Constants!$B$3/Constants!$B$1</f>
        <v>1.1622862531695429E-26</v>
      </c>
      <c r="I4">
        <v>7.5999999999999996E-11</v>
      </c>
      <c r="J4">
        <f t="shared" si="0"/>
        <v>1.4325662500369455E-12</v>
      </c>
      <c r="K4">
        <f>H4/G4</f>
        <v>7.264289082309644E-8</v>
      </c>
      <c r="L4">
        <f t="shared" ref="L4:L57" si="2">K4^-1</f>
        <v>13765971.985273128</v>
      </c>
      <c r="M4" s="1">
        <f>ABS(J4/G4)</f>
        <v>8953539.0627309103</v>
      </c>
    </row>
    <row r="5" spans="1:17" hidden="1" x14ac:dyDescent="0.25">
      <c r="A5">
        <f t="shared" si="1"/>
        <v>4</v>
      </c>
      <c r="B5" t="s">
        <v>13</v>
      </c>
      <c r="C5" t="s">
        <v>14</v>
      </c>
      <c r="D5" s="1">
        <v>1.496508195202E-26</v>
      </c>
      <c r="E5">
        <v>1.5299999999999999E-10</v>
      </c>
      <c r="F5">
        <v>2</v>
      </c>
      <c r="G5" s="1">
        <f>F5*Constants!$B$2</f>
        <v>3.1999999999999998E-19</v>
      </c>
      <c r="H5" s="1">
        <f>D5-F5*Constants!$B$3/Constants!$B$1</f>
        <v>1.4963260074977058E-26</v>
      </c>
      <c r="I5">
        <v>4.5E-11</v>
      </c>
      <c r="J5">
        <f t="shared" si="0"/>
        <v>8.4823001646924416E-13</v>
      </c>
      <c r="K5">
        <f>H5/G5</f>
        <v>4.6760187734303311E-8</v>
      </c>
      <c r="L5">
        <f t="shared" si="2"/>
        <v>21385713.968517695</v>
      </c>
      <c r="M5" s="1"/>
    </row>
    <row r="6" spans="1:17" hidden="1" x14ac:dyDescent="0.25">
      <c r="A6">
        <f t="shared" si="1"/>
        <v>5</v>
      </c>
      <c r="B6" t="s">
        <v>15</v>
      </c>
      <c r="C6" t="s">
        <v>16</v>
      </c>
      <c r="D6" s="1">
        <v>1.7950427316149283E-26</v>
      </c>
      <c r="E6">
        <v>1.9200000000000001E-10</v>
      </c>
      <c r="G6" s="1"/>
      <c r="H6" s="1"/>
      <c r="J6">
        <f t="shared" si="0"/>
        <v>0</v>
      </c>
      <c r="M6" s="1"/>
    </row>
    <row r="7" spans="1:17" hidden="1" x14ac:dyDescent="0.25">
      <c r="A7">
        <f t="shared" si="1"/>
        <v>6</v>
      </c>
      <c r="B7" t="s">
        <v>5</v>
      </c>
      <c r="C7" t="s">
        <v>17</v>
      </c>
      <c r="D7" s="1">
        <v>1.9944734735825074E-26</v>
      </c>
      <c r="E7">
        <v>1.7000000000000001E-10</v>
      </c>
      <c r="G7" s="1"/>
      <c r="H7" s="1"/>
      <c r="J7">
        <f t="shared" si="0"/>
        <v>0</v>
      </c>
      <c r="M7" s="1"/>
    </row>
    <row r="8" spans="1:17" hidden="1" x14ac:dyDescent="0.25">
      <c r="A8">
        <f t="shared" si="1"/>
        <v>7</v>
      </c>
      <c r="B8" t="s">
        <v>18</v>
      </c>
      <c r="C8" t="s">
        <v>19</v>
      </c>
      <c r="D8" s="1">
        <v>2.3259170713904071E-26</v>
      </c>
      <c r="E8">
        <v>1.5500000000000001E-10</v>
      </c>
      <c r="G8" s="1"/>
      <c r="H8" s="1"/>
      <c r="J8">
        <f t="shared" si="0"/>
        <v>0</v>
      </c>
      <c r="M8" s="1"/>
    </row>
    <row r="9" spans="1:17" hidden="1" x14ac:dyDescent="0.25">
      <c r="A9">
        <f t="shared" si="1"/>
        <v>8</v>
      </c>
      <c r="B9" t="s">
        <v>20</v>
      </c>
      <c r="C9" t="s">
        <v>21</v>
      </c>
      <c r="D9" s="1">
        <v>2.6566964535714372E-26</v>
      </c>
      <c r="E9">
        <v>1.5199999999999999E-10</v>
      </c>
      <c r="F9">
        <v>-2</v>
      </c>
      <c r="G9" s="1">
        <f>F9*Constants!$B$2</f>
        <v>-3.1999999999999998E-19</v>
      </c>
      <c r="H9" s="1">
        <f>D9-F9*Constants!$B$3/Constants!$B$1</f>
        <v>2.6568786412757311E-26</v>
      </c>
      <c r="I9">
        <v>1.4000000000000001E-10</v>
      </c>
      <c r="J9">
        <f t="shared" si="0"/>
        <v>2.6389378290154263E-12</v>
      </c>
      <c r="K9">
        <f>H9/G9</f>
        <v>-8.3027457539866596E-8</v>
      </c>
      <c r="L9">
        <f t="shared" si="2"/>
        <v>-12044208.381544605</v>
      </c>
      <c r="M9" s="1"/>
    </row>
    <row r="10" spans="1:17" hidden="1" x14ac:dyDescent="0.25">
      <c r="A10">
        <f t="shared" si="1"/>
        <v>9</v>
      </c>
      <c r="B10" t="s">
        <v>22</v>
      </c>
      <c r="C10" t="s">
        <v>23</v>
      </c>
      <c r="D10" s="1">
        <v>3.1547590661099059E-26</v>
      </c>
      <c r="E10">
        <v>1.35E-10</v>
      </c>
      <c r="F10">
        <v>-1</v>
      </c>
      <c r="G10" s="1">
        <f>F10*Constants!$B$2</f>
        <v>-1.5999999999999999E-19</v>
      </c>
      <c r="H10" s="1">
        <f>D10-F10*Constants!$B$3/Constants!$B$1</f>
        <v>3.1548501599620528E-26</v>
      </c>
      <c r="I10">
        <v>1.3300000000000001E-10</v>
      </c>
      <c r="J10">
        <f t="shared" si="0"/>
        <v>2.5069909375646551E-12</v>
      </c>
      <c r="K10">
        <f>H10/G10</f>
        <v>-1.9717813499762831E-7</v>
      </c>
      <c r="L10">
        <f t="shared" si="2"/>
        <v>-5071556.2352389032</v>
      </c>
      <c r="M10" s="1"/>
    </row>
    <row r="11" spans="1:17" hidden="1" x14ac:dyDescent="0.25">
      <c r="A11">
        <f t="shared" si="1"/>
        <v>10</v>
      </c>
      <c r="B11" t="s">
        <v>24</v>
      </c>
      <c r="C11" t="s">
        <v>25</v>
      </c>
      <c r="D11" s="1">
        <v>3.3509678375568226E-26</v>
      </c>
      <c r="E11">
        <v>1.5399999999999999E-10</v>
      </c>
      <c r="G11" s="1"/>
      <c r="H11" s="1"/>
      <c r="J11">
        <f t="shared" si="0"/>
        <v>0</v>
      </c>
      <c r="M11" s="1"/>
    </row>
    <row r="12" spans="1:17" hidden="1" x14ac:dyDescent="0.25">
      <c r="A12">
        <f t="shared" si="1"/>
        <v>11</v>
      </c>
      <c r="B12" t="s">
        <v>26</v>
      </c>
      <c r="C12" t="s">
        <v>27</v>
      </c>
      <c r="D12" s="1">
        <v>3.8175410067963933E-26</v>
      </c>
      <c r="E12">
        <v>2.2699999999999999E-10</v>
      </c>
      <c r="F12">
        <v>1</v>
      </c>
      <c r="G12" s="1">
        <f>F12*Constants!$B$2</f>
        <v>1.5999999999999999E-19</v>
      </c>
      <c r="H12" s="1">
        <f>D12-F12*Constants!$B$3/Constants!$B$1</f>
        <v>3.8174499129442464E-26</v>
      </c>
      <c r="I12">
        <v>1.02E-10</v>
      </c>
      <c r="J12">
        <f t="shared" si="0"/>
        <v>1.9226547039969533E-12</v>
      </c>
      <c r="K12">
        <f t="shared" ref="K12:K18" si="3">H12/G12</f>
        <v>2.3859061955901542E-7</v>
      </c>
      <c r="L12">
        <f t="shared" si="2"/>
        <v>4191279.6146314959</v>
      </c>
      <c r="M12" s="1"/>
    </row>
    <row r="13" spans="1:17" hidden="1" x14ac:dyDescent="0.25">
      <c r="A13">
        <f t="shared" si="1"/>
        <v>12</v>
      </c>
      <c r="B13" t="s">
        <v>28</v>
      </c>
      <c r="C13" t="s">
        <v>29</v>
      </c>
      <c r="D13" s="1">
        <v>4.0359402027660342E-26</v>
      </c>
      <c r="E13">
        <v>1.73E-10</v>
      </c>
      <c r="F13">
        <v>2</v>
      </c>
      <c r="G13" s="1">
        <f>F13*Constants!$B$2</f>
        <v>3.1999999999999998E-19</v>
      </c>
      <c r="H13" s="1">
        <f>D13-F13*Constants!$B$3/Constants!$B$1</f>
        <v>4.0357580150617403E-26</v>
      </c>
      <c r="I13">
        <v>7.1999999999999997E-11</v>
      </c>
      <c r="J13">
        <f t="shared" si="0"/>
        <v>1.3571680263507906E-12</v>
      </c>
      <c r="K13">
        <f t="shared" si="3"/>
        <v>1.2611743797067939E-7</v>
      </c>
      <c r="L13">
        <f t="shared" si="2"/>
        <v>7929117.6231512614</v>
      </c>
      <c r="M13" s="1"/>
    </row>
    <row r="14" spans="1:17" hidden="1" x14ac:dyDescent="0.25">
      <c r="A14">
        <f t="shared" si="1"/>
        <v>13</v>
      </c>
      <c r="B14" t="s">
        <v>30</v>
      </c>
      <c r="C14" t="s">
        <v>31</v>
      </c>
      <c r="D14" s="1">
        <v>4.48038979414357E-26</v>
      </c>
      <c r="E14">
        <v>1.8399999999999998E-10</v>
      </c>
      <c r="F14">
        <v>3</v>
      </c>
      <c r="G14" s="1">
        <f>F14*Constants!$B$2</f>
        <v>4.7999999999999995E-19</v>
      </c>
      <c r="H14" s="1">
        <f>D14-F14*Constants!$B$3/Constants!$B$1</f>
        <v>4.4801165125871292E-26</v>
      </c>
      <c r="I14">
        <v>5.3499999999999996E-11</v>
      </c>
      <c r="J14">
        <f t="shared" si="0"/>
        <v>1.0084512418023236E-12</v>
      </c>
      <c r="K14">
        <f t="shared" si="3"/>
        <v>9.3335760678898534E-8</v>
      </c>
      <c r="L14">
        <f t="shared" si="2"/>
        <v>10714007.072169084</v>
      </c>
      <c r="M14" s="1"/>
    </row>
    <row r="15" spans="1:17" hidden="1" x14ac:dyDescent="0.25">
      <c r="A15">
        <f t="shared" si="1"/>
        <v>14</v>
      </c>
      <c r="B15" t="s">
        <v>32</v>
      </c>
      <c r="C15" t="s">
        <v>33</v>
      </c>
      <c r="D15" s="1">
        <v>4.6636239701577485E-26</v>
      </c>
      <c r="E15">
        <v>2.1E-10</v>
      </c>
      <c r="F15">
        <v>4</v>
      </c>
      <c r="G15" s="1">
        <f>F15*Constants!$B$2</f>
        <v>6.3999999999999996E-19</v>
      </c>
      <c r="H15" s="1">
        <f>D15-F15*Constants!$B$3/Constants!$B$1</f>
        <v>4.6632595947491601E-26</v>
      </c>
      <c r="I15">
        <v>3.9999999999999998E-11</v>
      </c>
      <c r="J15">
        <f t="shared" si="0"/>
        <v>7.5398223686155032E-13</v>
      </c>
      <c r="K15">
        <f t="shared" si="3"/>
        <v>7.2863431167955632E-8</v>
      </c>
      <c r="L15">
        <f t="shared" si="2"/>
        <v>13724305.649221014</v>
      </c>
      <c r="M15" s="1"/>
    </row>
    <row r="16" spans="1:17" hidden="1" x14ac:dyDescent="0.25">
      <c r="A16">
        <f t="shared" si="1"/>
        <v>15</v>
      </c>
      <c r="B16" t="s">
        <v>34</v>
      </c>
      <c r="C16" t="s">
        <v>35</v>
      </c>
      <c r="D16" s="1">
        <v>5.1433141858344739E-26</v>
      </c>
      <c r="E16">
        <v>1.8E-10</v>
      </c>
      <c r="F16">
        <v>-3</v>
      </c>
      <c r="G16" s="1">
        <f>F16*Constants!$B$2</f>
        <v>-4.7999999999999995E-19</v>
      </c>
      <c r="H16" s="1">
        <f>D16-F16*Constants!$B$3/Constants!$B$1</f>
        <v>5.1435874673909148E-26</v>
      </c>
      <c r="I16">
        <v>2.1199999999999999E-10</v>
      </c>
      <c r="J16">
        <f t="shared" si="0"/>
        <v>3.9961058553662171E-12</v>
      </c>
      <c r="K16">
        <f t="shared" si="3"/>
        <v>-1.0715807223731074E-7</v>
      </c>
      <c r="L16">
        <f t="shared" si="2"/>
        <v>-9332008.1177404374</v>
      </c>
      <c r="M16" s="1"/>
    </row>
    <row r="17" spans="1:13" hidden="1" x14ac:dyDescent="0.25">
      <c r="A17">
        <f t="shared" si="1"/>
        <v>16</v>
      </c>
      <c r="B17" t="s">
        <v>36</v>
      </c>
      <c r="C17" t="s">
        <v>37</v>
      </c>
      <c r="D17" s="1">
        <v>5.3253487884265267E-26</v>
      </c>
      <c r="E17">
        <v>1.8E-10</v>
      </c>
      <c r="F17">
        <v>-2</v>
      </c>
      <c r="G17" s="1">
        <f>F17*Constants!$B$2</f>
        <v>-3.1999999999999998E-19</v>
      </c>
      <c r="H17" s="1">
        <f>D17-F17*Constants!$B$3/Constants!$B$1</f>
        <v>5.3255309761308206E-26</v>
      </c>
      <c r="I17">
        <v>1.8399999999999998E-10</v>
      </c>
      <c r="J17">
        <f t="shared" si="0"/>
        <v>3.4683182895631316E-12</v>
      </c>
      <c r="K17">
        <f t="shared" si="3"/>
        <v>-1.6642284300408815E-7</v>
      </c>
      <c r="L17">
        <f t="shared" si="2"/>
        <v>-6008790.5118616149</v>
      </c>
      <c r="M17" s="1"/>
    </row>
    <row r="18" spans="1:13" hidden="1" x14ac:dyDescent="0.25">
      <c r="A18">
        <f t="shared" si="1"/>
        <v>17</v>
      </c>
      <c r="B18" t="s">
        <v>38</v>
      </c>
      <c r="C18" t="s">
        <v>39</v>
      </c>
      <c r="D18" s="1">
        <v>5.8866109931312867E-26</v>
      </c>
      <c r="E18">
        <v>1.7499999999999999E-10</v>
      </c>
      <c r="F18">
        <v>-1</v>
      </c>
      <c r="G18" s="1">
        <f>F18*Constants!$B$2</f>
        <v>-1.5999999999999999E-19</v>
      </c>
      <c r="H18" s="1">
        <f>D18-F18*Constants!$B$3/Constants!$B$1</f>
        <v>5.8867020869834342E-26</v>
      </c>
      <c r="I18">
        <v>1.81E-10</v>
      </c>
      <c r="J18">
        <f t="shared" si="0"/>
        <v>3.4117696217985153E-12</v>
      </c>
      <c r="K18">
        <f t="shared" si="3"/>
        <v>-3.6791888043646468E-7</v>
      </c>
      <c r="L18">
        <f t="shared" si="2"/>
        <v>-2717990.4407561067</v>
      </c>
      <c r="M18" s="1"/>
    </row>
    <row r="19" spans="1:13" hidden="1" x14ac:dyDescent="0.25">
      <c r="A19">
        <f t="shared" si="1"/>
        <v>18</v>
      </c>
      <c r="B19" t="s">
        <v>40</v>
      </c>
      <c r="C19" t="s">
        <v>41</v>
      </c>
      <c r="D19" s="1">
        <v>6.6255508780236482E-26</v>
      </c>
      <c r="E19">
        <v>1.88E-10</v>
      </c>
      <c r="G19" s="1"/>
      <c r="H19" s="1"/>
      <c r="J19">
        <f t="shared" si="0"/>
        <v>0</v>
      </c>
      <c r="M19" s="1"/>
    </row>
    <row r="20" spans="1:13" hidden="1" x14ac:dyDescent="0.25">
      <c r="A20">
        <f t="shared" si="1"/>
        <v>19</v>
      </c>
      <c r="B20" t="s">
        <v>42</v>
      </c>
      <c r="C20" t="s">
        <v>43</v>
      </c>
      <c r="D20" s="1">
        <v>6.4924254610083222E-26</v>
      </c>
      <c r="E20">
        <v>2.7499999999999998E-10</v>
      </c>
      <c r="F20">
        <v>1</v>
      </c>
      <c r="G20" s="1">
        <f>F20*Constants!$B$2</f>
        <v>1.5999999999999999E-19</v>
      </c>
      <c r="H20" s="1">
        <f>D20-F20*Constants!$B$3/Constants!$B$1</f>
        <v>6.4923343671561747E-26</v>
      </c>
      <c r="I20">
        <v>1.3799999999999999E-10</v>
      </c>
      <c r="J20">
        <f t="shared" si="0"/>
        <v>2.6012387171723487E-12</v>
      </c>
      <c r="K20">
        <f t="shared" ref="K20:K36" si="4">H20/G20</f>
        <v>4.0577089794726096E-7</v>
      </c>
      <c r="L20">
        <f t="shared" si="2"/>
        <v>2464444.8506752509</v>
      </c>
      <c r="M20" s="1"/>
    </row>
    <row r="21" spans="1:13" hidden="1" x14ac:dyDescent="0.25">
      <c r="A21">
        <f t="shared" si="1"/>
        <v>20</v>
      </c>
      <c r="B21" t="s">
        <v>44</v>
      </c>
      <c r="C21" t="s">
        <v>45</v>
      </c>
      <c r="D21" s="1">
        <v>6.6554405812327772E-26</v>
      </c>
      <c r="E21">
        <v>2.31E-10</v>
      </c>
      <c r="F21">
        <v>2</v>
      </c>
      <c r="G21" s="1">
        <f>F21*Constants!$B$2</f>
        <v>3.1999999999999998E-19</v>
      </c>
      <c r="H21" s="1">
        <f>D21-F21*Constants!$B$3/Constants!$B$1</f>
        <v>6.6552583935284834E-26</v>
      </c>
      <c r="I21">
        <v>1E-10</v>
      </c>
      <c r="J21">
        <f t="shared" si="0"/>
        <v>1.884955592153876E-12</v>
      </c>
      <c r="K21">
        <f t="shared" si="4"/>
        <v>2.0797682479776512E-7</v>
      </c>
      <c r="L21">
        <f t="shared" si="2"/>
        <v>4808228.0368131949</v>
      </c>
      <c r="M21" s="1"/>
    </row>
    <row r="22" spans="1:13" hidden="1" x14ac:dyDescent="0.25">
      <c r="A22">
        <f t="shared" si="1"/>
        <v>21</v>
      </c>
      <c r="B22" t="s">
        <v>46</v>
      </c>
      <c r="C22" t="s">
        <v>47</v>
      </c>
      <c r="D22" s="1">
        <v>7.4651044855351413E-26</v>
      </c>
      <c r="E22">
        <v>2.11E-10</v>
      </c>
      <c r="F22">
        <v>3</v>
      </c>
      <c r="G22" s="1">
        <f>F22*Constants!$B$2</f>
        <v>4.7999999999999995E-19</v>
      </c>
      <c r="H22" s="1">
        <f>D22-F22*Constants!$B$3/Constants!$B$1</f>
        <v>7.4648312039786999E-26</v>
      </c>
      <c r="I22">
        <v>7.4500000000000001E-11</v>
      </c>
      <c r="J22">
        <f t="shared" si="0"/>
        <v>1.4042919161546376E-12</v>
      </c>
      <c r="K22">
        <f t="shared" si="4"/>
        <v>1.5551731674955627E-7</v>
      </c>
      <c r="L22">
        <f t="shared" si="2"/>
        <v>6430152.0943188034</v>
      </c>
      <c r="M22" s="1"/>
    </row>
    <row r="23" spans="1:13" hidden="1" x14ac:dyDescent="0.25">
      <c r="A23">
        <f t="shared" si="1"/>
        <v>22</v>
      </c>
      <c r="B23" t="s">
        <v>48</v>
      </c>
      <c r="C23" t="s">
        <v>49</v>
      </c>
      <c r="D23" s="1">
        <v>7.9485023528410509E-26</v>
      </c>
      <c r="E23">
        <v>1.87E-10</v>
      </c>
      <c r="F23">
        <v>3</v>
      </c>
      <c r="G23" s="1">
        <f>F23*Constants!$B$2</f>
        <v>4.7999999999999995E-19</v>
      </c>
      <c r="H23" s="1">
        <f>D23-F23*Constants!$B$3/Constants!$B$1</f>
        <v>7.9482290712846095E-26</v>
      </c>
      <c r="I23">
        <v>6.7000000000000001E-11</v>
      </c>
      <c r="J23">
        <f t="shared" si="0"/>
        <v>1.2629202467430969E-12</v>
      </c>
      <c r="K23">
        <f t="shared" si="4"/>
        <v>1.6558810565176271E-7</v>
      </c>
      <c r="L23">
        <f t="shared" si="2"/>
        <v>6039081.1046720548</v>
      </c>
      <c r="M23" s="1"/>
    </row>
    <row r="24" spans="1:13" hidden="1" x14ac:dyDescent="0.25">
      <c r="A24">
        <f t="shared" si="1"/>
        <v>23</v>
      </c>
      <c r="B24" t="s">
        <v>50</v>
      </c>
      <c r="C24" t="s">
        <v>51</v>
      </c>
      <c r="D24" s="1">
        <v>8.4590350890436507E-26</v>
      </c>
      <c r="E24">
        <v>1.79E-10</v>
      </c>
      <c r="F24">
        <v>2</v>
      </c>
      <c r="G24" s="1">
        <f>F24*Constants!$B$2</f>
        <v>3.1999999999999998E-19</v>
      </c>
      <c r="H24" s="1">
        <f>D24-F24*Constants!$B$3/Constants!$B$1</f>
        <v>8.4588529013393568E-26</v>
      </c>
      <c r="I24">
        <v>7.8999999999999999E-11</v>
      </c>
      <c r="J24">
        <f t="shared" si="0"/>
        <v>1.489114917801562E-12</v>
      </c>
      <c r="K24">
        <f t="shared" si="4"/>
        <v>2.643391531668549E-7</v>
      </c>
      <c r="L24">
        <f t="shared" si="2"/>
        <v>3783018.8529384625</v>
      </c>
      <c r="M24" s="1"/>
    </row>
    <row r="25" spans="1:13" hidden="1" x14ac:dyDescent="0.25">
      <c r="A25">
        <f t="shared" si="1"/>
        <v>24</v>
      </c>
      <c r="B25" t="s">
        <v>52</v>
      </c>
      <c r="C25" t="s">
        <v>53</v>
      </c>
      <c r="D25" s="1">
        <v>8.6341389336771338E-26</v>
      </c>
      <c r="E25">
        <v>1.8899999999999999E-10</v>
      </c>
      <c r="F25">
        <v>2</v>
      </c>
      <c r="G25" s="1">
        <f>F25*Constants!$B$2</f>
        <v>3.1999999999999998E-19</v>
      </c>
      <c r="H25" s="1">
        <f>D25-F25*Constants!$B$3/Constants!$B$1</f>
        <v>8.6339567459728399E-26</v>
      </c>
      <c r="I25">
        <v>7.9999999999999995E-11</v>
      </c>
      <c r="J25">
        <f t="shared" si="0"/>
        <v>1.5079644737231006E-12</v>
      </c>
      <c r="K25">
        <f t="shared" si="4"/>
        <v>2.6981114831165125E-7</v>
      </c>
      <c r="L25">
        <f t="shared" si="2"/>
        <v>3706296.0750788851</v>
      </c>
      <c r="M25" s="1"/>
    </row>
    <row r="26" spans="1:13" hidden="1" x14ac:dyDescent="0.25">
      <c r="A26">
        <f t="shared" si="1"/>
        <v>25</v>
      </c>
      <c r="B26" t="s">
        <v>54</v>
      </c>
      <c r="C26" t="s">
        <v>55</v>
      </c>
      <c r="D26" s="1">
        <v>9.122676169395948E-26</v>
      </c>
      <c r="E26">
        <v>1.9699999999999999E-10</v>
      </c>
      <c r="F26">
        <v>2</v>
      </c>
      <c r="G26" s="1">
        <f>F26*Constants!$B$2</f>
        <v>3.1999999999999998E-19</v>
      </c>
      <c r="H26" s="1">
        <f>D26-F26*Constants!$B$3/Constants!$B$1</f>
        <v>9.1224939816916541E-26</v>
      </c>
      <c r="I26">
        <v>8.2999999999999998E-11</v>
      </c>
      <c r="J26">
        <f t="shared" si="0"/>
        <v>1.5645131414877169E-12</v>
      </c>
      <c r="K26">
        <f t="shared" si="4"/>
        <v>2.8507793692786423E-7</v>
      </c>
      <c r="L26">
        <f t="shared" si="2"/>
        <v>3507812.6731815054</v>
      </c>
      <c r="M26" s="1"/>
    </row>
    <row r="27" spans="1:13" hidden="1" x14ac:dyDescent="0.25">
      <c r="A27">
        <f t="shared" si="1"/>
        <v>26</v>
      </c>
      <c r="B27" t="s">
        <v>56</v>
      </c>
      <c r="C27" t="s">
        <v>57</v>
      </c>
      <c r="D27" s="1">
        <v>9.2724501510987602E-26</v>
      </c>
      <c r="E27">
        <v>1.94E-10</v>
      </c>
      <c r="F27">
        <v>2</v>
      </c>
      <c r="G27" s="1">
        <f>F27*Constants!$B$2</f>
        <v>3.1999999999999998E-19</v>
      </c>
      <c r="H27" s="1">
        <f>D27-F27*Constants!$B$3/Constants!$B$1</f>
        <v>9.2722679633944663E-26</v>
      </c>
      <c r="I27">
        <v>7.8000000000000002E-11</v>
      </c>
      <c r="J27">
        <f t="shared" si="0"/>
        <v>1.4702653618800232E-12</v>
      </c>
      <c r="K27">
        <f t="shared" si="4"/>
        <v>2.8975837385607708E-7</v>
      </c>
      <c r="L27">
        <f t="shared" si="2"/>
        <v>3451151.3392765648</v>
      </c>
      <c r="M27" s="1"/>
    </row>
    <row r="28" spans="1:13" hidden="1" x14ac:dyDescent="0.25">
      <c r="A28">
        <f t="shared" si="1"/>
        <v>27</v>
      </c>
      <c r="B28" t="s">
        <v>58</v>
      </c>
      <c r="C28" t="s">
        <v>59</v>
      </c>
      <c r="D28" s="1">
        <v>9.7860864348179076E-26</v>
      </c>
      <c r="E28">
        <v>1.9200000000000001E-10</v>
      </c>
      <c r="F28">
        <v>2</v>
      </c>
      <c r="G28" s="1">
        <f>F28*Constants!$B$2</f>
        <v>3.1999999999999998E-19</v>
      </c>
      <c r="H28" s="1">
        <f>D28-F28*Constants!$B$3/Constants!$B$1</f>
        <v>9.7859042471136137E-26</v>
      </c>
      <c r="I28">
        <v>7.4500000000000001E-11</v>
      </c>
      <c r="J28">
        <f t="shared" si="0"/>
        <v>1.4042919161546376E-12</v>
      </c>
      <c r="K28">
        <f t="shared" si="4"/>
        <v>3.0580950772230043E-7</v>
      </c>
      <c r="L28">
        <f t="shared" si="2"/>
        <v>3270009.5149038997</v>
      </c>
      <c r="M28" s="1"/>
    </row>
    <row r="29" spans="1:13" hidden="1" x14ac:dyDescent="0.25">
      <c r="A29">
        <f t="shared" si="1"/>
        <v>28</v>
      </c>
      <c r="B29" t="s">
        <v>60</v>
      </c>
      <c r="C29" t="s">
        <v>61</v>
      </c>
      <c r="D29" s="1">
        <v>9.7462019469634584E-26</v>
      </c>
      <c r="E29">
        <v>1.6300000000000001E-10</v>
      </c>
      <c r="F29">
        <v>2</v>
      </c>
      <c r="G29" s="1">
        <f>F29*Constants!$B$2</f>
        <v>3.1999999999999998E-19</v>
      </c>
      <c r="H29" s="1">
        <f>D29-F29*Constants!$B$3/Constants!$B$1</f>
        <v>9.7460197592591645E-26</v>
      </c>
      <c r="I29">
        <v>6.8999999999999994E-11</v>
      </c>
      <c r="J29">
        <f t="shared" si="0"/>
        <v>1.3006193585861743E-12</v>
      </c>
      <c r="K29">
        <f t="shared" si="4"/>
        <v>3.045631174768489E-7</v>
      </c>
      <c r="L29">
        <f t="shared" si="2"/>
        <v>3283391.6604364091</v>
      </c>
      <c r="M29" s="1"/>
    </row>
    <row r="30" spans="1:13" hidden="1" x14ac:dyDescent="0.25">
      <c r="A30">
        <f t="shared" si="1"/>
        <v>29</v>
      </c>
      <c r="B30" t="s">
        <v>62</v>
      </c>
      <c r="C30" t="s">
        <v>63</v>
      </c>
      <c r="D30" s="1">
        <v>1.0552725771889795E-25</v>
      </c>
      <c r="E30">
        <v>1.4000000000000001E-10</v>
      </c>
      <c r="F30">
        <v>2</v>
      </c>
      <c r="G30" s="1">
        <f>F30*Constants!$B$2</f>
        <v>3.1999999999999998E-19</v>
      </c>
      <c r="H30" s="1">
        <f>D30-F30*Constants!$B$3/Constants!$B$1</f>
        <v>1.05525435841855E-25</v>
      </c>
      <c r="I30">
        <v>7.2999999999999993E-11</v>
      </c>
      <c r="J30">
        <f t="shared" si="0"/>
        <v>1.3760175822723292E-12</v>
      </c>
      <c r="K30">
        <f t="shared" si="4"/>
        <v>3.2976698700579688E-7</v>
      </c>
      <c r="L30">
        <f t="shared" si="2"/>
        <v>3032444.2391270092</v>
      </c>
      <c r="M30" s="1"/>
    </row>
    <row r="31" spans="1:13" hidden="1" x14ac:dyDescent="0.25">
      <c r="A31">
        <f t="shared" si="1"/>
        <v>30</v>
      </c>
      <c r="B31" t="s">
        <v>64</v>
      </c>
      <c r="C31" t="s">
        <v>65</v>
      </c>
      <c r="D31" s="1">
        <v>1.0859925499316958E-25</v>
      </c>
      <c r="E31">
        <v>1.3899999999999999E-10</v>
      </c>
      <c r="F31">
        <v>2</v>
      </c>
      <c r="G31" s="1">
        <f>F31*Constants!$B$2</f>
        <v>3.1999999999999998E-19</v>
      </c>
      <c r="H31" s="1">
        <f>D31-F31*Constants!$B$3/Constants!$B$1</f>
        <v>1.0859743311612663E-25</v>
      </c>
      <c r="I31">
        <v>7.4000000000000003E-11</v>
      </c>
      <c r="J31">
        <f t="shared" si="0"/>
        <v>1.3948671381938683E-12</v>
      </c>
      <c r="K31">
        <f t="shared" si="4"/>
        <v>3.3936697848789574E-7</v>
      </c>
      <c r="L31">
        <f t="shared" si="2"/>
        <v>2946662.6495472868</v>
      </c>
      <c r="M31" s="1"/>
    </row>
    <row r="32" spans="1:13" hidden="1" x14ac:dyDescent="0.25">
      <c r="A32">
        <f t="shared" si="1"/>
        <v>31</v>
      </c>
      <c r="B32" t="s">
        <v>66</v>
      </c>
      <c r="C32" t="s">
        <v>67</v>
      </c>
      <c r="D32" s="1">
        <v>1.157777653805621E-25</v>
      </c>
      <c r="E32">
        <v>1.87E-10</v>
      </c>
      <c r="F32">
        <v>3</v>
      </c>
      <c r="G32" s="1">
        <f>F32*Constants!$B$2</f>
        <v>4.7999999999999995E-19</v>
      </c>
      <c r="H32" s="1">
        <f>D32-F32*Constants!$B$3/Constants!$B$1</f>
        <v>1.1577503256499768E-25</v>
      </c>
      <c r="I32">
        <v>6.1999999999999993E-11</v>
      </c>
      <c r="J32">
        <f t="shared" si="0"/>
        <v>1.1686724671354029E-12</v>
      </c>
      <c r="K32">
        <f t="shared" si="4"/>
        <v>2.4119798451041185E-7</v>
      </c>
      <c r="L32">
        <f t="shared" si="2"/>
        <v>4145971.6258816118</v>
      </c>
      <c r="M32" s="1"/>
    </row>
    <row r="33" spans="1:13" hidden="1" x14ac:dyDescent="0.25">
      <c r="A33">
        <f t="shared" si="1"/>
        <v>32</v>
      </c>
      <c r="B33" t="s">
        <v>68</v>
      </c>
      <c r="C33" t="s">
        <v>69</v>
      </c>
      <c r="D33" s="1">
        <v>1.2060495244883648E-25</v>
      </c>
      <c r="E33">
        <v>2.11E-10</v>
      </c>
      <c r="F33">
        <v>4</v>
      </c>
      <c r="G33" s="1">
        <f>F33*Constants!$B$2</f>
        <v>6.3999999999999996E-19</v>
      </c>
      <c r="H33" s="1">
        <f>D33-F33*Constants!$B$3/Constants!$B$1</f>
        <v>1.2060130869475061E-25</v>
      </c>
      <c r="I33">
        <v>5.2999999999999998E-11</v>
      </c>
      <c r="J33">
        <f t="shared" si="0"/>
        <v>9.9902646384155429E-13</v>
      </c>
      <c r="K33">
        <f t="shared" si="4"/>
        <v>1.8843954483554784E-7</v>
      </c>
      <c r="L33">
        <f t="shared" si="2"/>
        <v>5306741.7503725402</v>
      </c>
      <c r="M33" s="1"/>
    </row>
    <row r="34" spans="1:13" hidden="1" x14ac:dyDescent="0.25">
      <c r="A34">
        <f t="shared" si="1"/>
        <v>33</v>
      </c>
      <c r="B34" t="s">
        <v>70</v>
      </c>
      <c r="C34" t="s">
        <v>71</v>
      </c>
      <c r="D34" s="1">
        <v>1.2441022716978139E-25</v>
      </c>
      <c r="E34">
        <v>1.8500000000000001E-10</v>
      </c>
      <c r="F34">
        <v>3</v>
      </c>
      <c r="G34" s="1">
        <f>F34*Constants!$B$2</f>
        <v>4.7999999999999995E-19</v>
      </c>
      <c r="H34" s="1">
        <f>D34-F34*Constants!$B$3/Constants!$B$1</f>
        <v>1.2440749435421698E-25</v>
      </c>
      <c r="I34">
        <v>5.8E-11</v>
      </c>
      <c r="J34">
        <f t="shared" si="0"/>
        <v>1.093274243449248E-12</v>
      </c>
      <c r="K34">
        <f t="shared" si="4"/>
        <v>2.5918227990461872E-7</v>
      </c>
      <c r="L34">
        <f t="shared" si="2"/>
        <v>3858288.4615723286</v>
      </c>
      <c r="M34" s="1"/>
    </row>
    <row r="35" spans="1:13" hidden="1" x14ac:dyDescent="0.25">
      <c r="A35">
        <f t="shared" si="1"/>
        <v>34</v>
      </c>
      <c r="B35" t="s">
        <v>72</v>
      </c>
      <c r="C35" t="s">
        <v>73</v>
      </c>
      <c r="D35" s="1">
        <v>1.3113277013471868E-25</v>
      </c>
      <c r="E35">
        <v>1.8999999999999999E-10</v>
      </c>
      <c r="F35">
        <v>-2</v>
      </c>
      <c r="G35" s="1">
        <f>F35*Constants!$B$2</f>
        <v>-3.1999999999999998E-19</v>
      </c>
      <c r="H35" s="1">
        <f>D35-F35*Constants!$B$3/Constants!$B$1</f>
        <v>1.3113459201176163E-25</v>
      </c>
      <c r="I35">
        <v>1.9799999999999999E-10</v>
      </c>
      <c r="J35">
        <f t="shared" si="0"/>
        <v>3.7322120724646739E-12</v>
      </c>
      <c r="K35">
        <f t="shared" si="4"/>
        <v>-4.0979560003675509E-7</v>
      </c>
      <c r="L35">
        <f t="shared" si="2"/>
        <v>-2440240.9394105468</v>
      </c>
      <c r="M35" s="1"/>
    </row>
    <row r="36" spans="1:13" hidden="1" x14ac:dyDescent="0.25">
      <c r="A36">
        <f t="shared" si="1"/>
        <v>35</v>
      </c>
      <c r="B36" t="s">
        <v>74</v>
      </c>
      <c r="C36" t="s">
        <v>75</v>
      </c>
      <c r="D36" s="1">
        <v>1.3267707146719036E-25</v>
      </c>
      <c r="E36">
        <v>1.8299999999999999E-10</v>
      </c>
      <c r="F36">
        <v>-1</v>
      </c>
      <c r="G36" s="1">
        <f>F36*Constants!$B$2</f>
        <v>-1.5999999999999999E-19</v>
      </c>
      <c r="H36" s="1">
        <f>D36-F36*Constants!$B$3/Constants!$B$1</f>
        <v>1.3267798240571183E-25</v>
      </c>
      <c r="I36">
        <v>1.96E-10</v>
      </c>
      <c r="J36">
        <f t="shared" si="0"/>
        <v>3.6945129606215967E-12</v>
      </c>
      <c r="K36">
        <f t="shared" si="4"/>
        <v>-8.2923739003569899E-7</v>
      </c>
      <c r="L36">
        <f t="shared" si="2"/>
        <v>-1205927.2917697905</v>
      </c>
      <c r="M36" s="1"/>
    </row>
    <row r="37" spans="1:13" hidden="1" x14ac:dyDescent="0.25">
      <c r="A37">
        <f t="shared" si="1"/>
        <v>36</v>
      </c>
      <c r="B37" t="s">
        <v>76</v>
      </c>
      <c r="C37" t="s">
        <v>77</v>
      </c>
      <c r="D37" s="1">
        <v>1.3915317382916835E-25</v>
      </c>
      <c r="E37">
        <v>2.02E-10</v>
      </c>
      <c r="G37" s="1"/>
      <c r="H37" s="1"/>
      <c r="J37">
        <f t="shared" si="0"/>
        <v>0</v>
      </c>
      <c r="M37" s="1"/>
    </row>
    <row r="38" spans="1:13" hidden="1" x14ac:dyDescent="0.25">
      <c r="A38">
        <f t="shared" si="1"/>
        <v>37</v>
      </c>
      <c r="B38" t="s">
        <v>78</v>
      </c>
      <c r="C38" t="s">
        <v>79</v>
      </c>
      <c r="D38" s="1">
        <v>1.4192295299321434E-25</v>
      </c>
      <c r="E38">
        <v>3.0299999999999999E-10</v>
      </c>
      <c r="F38">
        <v>1</v>
      </c>
      <c r="G38" s="1">
        <f>F38*Constants!$B$2</f>
        <v>1.5999999999999999E-19</v>
      </c>
      <c r="H38" s="1">
        <f>D38-F38*Constants!$B$3/Constants!$B$1</f>
        <v>1.4192204205469287E-25</v>
      </c>
      <c r="I38">
        <v>1.5199999999999999E-10</v>
      </c>
      <c r="J38">
        <f t="shared" si="0"/>
        <v>2.8651325000738911E-12</v>
      </c>
      <c r="K38">
        <f t="shared" ref="K38:K54" si="5">H38/G38</f>
        <v>8.8701276284183054E-7</v>
      </c>
      <c r="L38">
        <f t="shared" si="2"/>
        <v>1127379.4942884233</v>
      </c>
      <c r="M38" s="1"/>
    </row>
    <row r="39" spans="1:13" hidden="1" x14ac:dyDescent="0.25">
      <c r="A39">
        <f t="shared" si="1"/>
        <v>38</v>
      </c>
      <c r="B39" t="s">
        <v>80</v>
      </c>
      <c r="C39" t="s">
        <v>81</v>
      </c>
      <c r="D39" s="1">
        <v>1.4549643306577245E-25</v>
      </c>
      <c r="E39">
        <v>2.4900000000000002E-10</v>
      </c>
      <c r="F39">
        <v>2</v>
      </c>
      <c r="G39" s="1">
        <f>F39*Constants!$B$2</f>
        <v>3.1999999999999998E-19</v>
      </c>
      <c r="H39" s="1">
        <f>D39-F39*Constants!$B$3/Constants!$B$1</f>
        <v>1.454946111887295E-25</v>
      </c>
      <c r="I39">
        <v>1.1800000000000001E-10</v>
      </c>
      <c r="J39">
        <f t="shared" si="0"/>
        <v>2.2242475987415737E-12</v>
      </c>
      <c r="K39">
        <f t="shared" si="5"/>
        <v>4.5467065996477973E-7</v>
      </c>
      <c r="L39">
        <f t="shared" si="2"/>
        <v>2199394.1726467754</v>
      </c>
      <c r="M39" s="1"/>
    </row>
    <row r="40" spans="1:13" hidden="1" x14ac:dyDescent="0.25">
      <c r="A40">
        <f t="shared" si="1"/>
        <v>39</v>
      </c>
      <c r="B40" t="s">
        <v>82</v>
      </c>
      <c r="C40" t="s">
        <v>83</v>
      </c>
      <c r="D40" s="1">
        <v>1.4763162061990727E-25</v>
      </c>
      <c r="E40">
        <v>2.1899999999999999E-10</v>
      </c>
      <c r="F40">
        <v>3</v>
      </c>
      <c r="G40" s="1">
        <f>F40*Constants!$B$2</f>
        <v>4.7999999999999995E-19</v>
      </c>
      <c r="H40" s="1">
        <f>D40-F40*Constants!$B$3/Constants!$B$1</f>
        <v>1.4762888780434286E-25</v>
      </c>
      <c r="I40">
        <v>8.9999999999999999E-11</v>
      </c>
      <c r="J40">
        <f t="shared" si="0"/>
        <v>1.6964600329384883E-12</v>
      </c>
      <c r="K40">
        <f t="shared" si="5"/>
        <v>3.0756018292571432E-7</v>
      </c>
      <c r="L40">
        <f t="shared" si="2"/>
        <v>3251396.1673690779</v>
      </c>
      <c r="M40" s="1"/>
    </row>
    <row r="41" spans="1:13" hidden="1" x14ac:dyDescent="0.25">
      <c r="A41">
        <f t="shared" si="1"/>
        <v>40</v>
      </c>
      <c r="B41" t="s">
        <v>84</v>
      </c>
      <c r="C41" t="s">
        <v>85</v>
      </c>
      <c r="D41" s="1">
        <v>1.514743737075983E-25</v>
      </c>
      <c r="E41">
        <v>1.86E-10</v>
      </c>
      <c r="F41">
        <v>4</v>
      </c>
      <c r="G41" s="1">
        <f>F41*Constants!$B$2</f>
        <v>6.3999999999999996E-19</v>
      </c>
      <c r="H41" s="1">
        <f>D41-F41*Constants!$B$3/Constants!$B$1</f>
        <v>1.5147072995351243E-25</v>
      </c>
      <c r="I41">
        <v>7.1999999999999997E-11</v>
      </c>
      <c r="J41">
        <f t="shared" si="0"/>
        <v>1.3571680263507906E-12</v>
      </c>
      <c r="K41">
        <f t="shared" si="5"/>
        <v>2.3667301555236317E-7</v>
      </c>
      <c r="L41">
        <f t="shared" si="2"/>
        <v>4225238.7652480518</v>
      </c>
      <c r="M41" s="1"/>
    </row>
    <row r="42" spans="1:13" hidden="1" x14ac:dyDescent="0.25">
      <c r="A42">
        <f t="shared" si="1"/>
        <v>41</v>
      </c>
      <c r="B42" t="s">
        <v>86</v>
      </c>
      <c r="C42" t="s">
        <v>87</v>
      </c>
      <c r="D42" s="1">
        <v>1.5427465697430825E-25</v>
      </c>
      <c r="E42">
        <v>2.0699999999999998E-10</v>
      </c>
      <c r="F42">
        <v>3</v>
      </c>
      <c r="G42" s="1">
        <f>F42*Constants!$B$2</f>
        <v>4.7999999999999995E-19</v>
      </c>
      <c r="H42" s="1">
        <f>D42-F42*Constants!$B$3/Constants!$B$1</f>
        <v>1.5427192415874383E-25</v>
      </c>
      <c r="I42">
        <v>7.1999999999999997E-11</v>
      </c>
      <c r="J42">
        <f t="shared" si="0"/>
        <v>1.3571680263507906E-12</v>
      </c>
      <c r="K42">
        <f t="shared" si="5"/>
        <v>3.21399841997383E-7</v>
      </c>
      <c r="L42">
        <f t="shared" si="2"/>
        <v>3111389.2084867377</v>
      </c>
      <c r="M42" s="1"/>
    </row>
    <row r="43" spans="1:13" hidden="1" x14ac:dyDescent="0.25">
      <c r="A43">
        <f t="shared" si="1"/>
        <v>42</v>
      </c>
      <c r="B43" t="s">
        <v>88</v>
      </c>
      <c r="C43" t="s">
        <v>89</v>
      </c>
      <c r="D43" s="1">
        <v>1.5932872349533058E-25</v>
      </c>
      <c r="E43">
        <v>2.09E-10</v>
      </c>
      <c r="F43">
        <v>4</v>
      </c>
      <c r="G43" s="1">
        <f>F43*Constants!$B$2</f>
        <v>6.3999999999999996E-19</v>
      </c>
      <c r="H43" s="1">
        <f>D43-F43*Constants!$B$3/Constants!$B$1</f>
        <v>1.593250797412447E-25</v>
      </c>
      <c r="I43">
        <v>6.4999999999999995E-11</v>
      </c>
      <c r="J43">
        <f t="shared" si="0"/>
        <v>1.2252211349000192E-12</v>
      </c>
      <c r="K43">
        <f t="shared" si="5"/>
        <v>2.4894543709569485E-7</v>
      </c>
      <c r="L43">
        <f t="shared" si="2"/>
        <v>4016944.4825598435</v>
      </c>
      <c r="M43" s="1"/>
    </row>
    <row r="44" spans="1:13" hidden="1" x14ac:dyDescent="0.25">
      <c r="A44">
        <f t="shared" si="1"/>
        <v>43</v>
      </c>
      <c r="B44" t="s">
        <v>90</v>
      </c>
      <c r="C44" t="s">
        <v>91</v>
      </c>
      <c r="D44" s="1">
        <v>1.6091679663761298E-25</v>
      </c>
      <c r="E44">
        <v>2.09E-10</v>
      </c>
      <c r="F44">
        <v>4</v>
      </c>
      <c r="G44" s="1">
        <f>F44*Constants!$B$2</f>
        <v>6.3999999999999996E-19</v>
      </c>
      <c r="H44" s="1">
        <f>D44-F44*Constants!$B$3/Constants!$B$1</f>
        <v>1.6091315288352711E-25</v>
      </c>
      <c r="I44">
        <v>6.4499999999999997E-11</v>
      </c>
      <c r="J44">
        <f t="shared" si="0"/>
        <v>1.2157963569392499E-12</v>
      </c>
      <c r="K44">
        <f t="shared" si="5"/>
        <v>2.5142680138051114E-7</v>
      </c>
      <c r="L44">
        <f t="shared" si="2"/>
        <v>3977300.7273261724</v>
      </c>
      <c r="M44" s="1"/>
    </row>
    <row r="45" spans="1:13" hidden="1" x14ac:dyDescent="0.25">
      <c r="A45">
        <f t="shared" si="1"/>
        <v>44</v>
      </c>
      <c r="B45" t="s">
        <v>92</v>
      </c>
      <c r="C45" t="s">
        <v>93</v>
      </c>
      <c r="D45" s="1">
        <v>1.678804996912759E-25</v>
      </c>
      <c r="E45">
        <v>2.0699999999999998E-10</v>
      </c>
      <c r="F45">
        <v>3</v>
      </c>
      <c r="G45" s="1">
        <f>F45*Constants!$B$2</f>
        <v>4.7999999999999995E-19</v>
      </c>
      <c r="H45" s="1">
        <f>D45-F45*Constants!$B$3/Constants!$B$1</f>
        <v>1.6787776687571149E-25</v>
      </c>
      <c r="I45">
        <v>6.7999999999999998E-11</v>
      </c>
      <c r="J45">
        <f t="shared" si="0"/>
        <v>1.2817698026646355E-12</v>
      </c>
      <c r="K45">
        <f t="shared" si="5"/>
        <v>3.4974534765773228E-7</v>
      </c>
      <c r="L45">
        <f t="shared" si="2"/>
        <v>2859223.1653603576</v>
      </c>
      <c r="M45" s="1"/>
    </row>
    <row r="46" spans="1:13" hidden="1" x14ac:dyDescent="0.25">
      <c r="A46">
        <f t="shared" si="1"/>
        <v>45</v>
      </c>
      <c r="B46" t="s">
        <v>94</v>
      </c>
      <c r="C46" t="s">
        <v>95</v>
      </c>
      <c r="D46" s="1">
        <v>1.7087860297705827E-25</v>
      </c>
      <c r="E46">
        <v>1.95E-10</v>
      </c>
      <c r="F46">
        <v>3</v>
      </c>
      <c r="G46" s="1">
        <f>F46*Constants!$B$2</f>
        <v>4.7999999999999995E-19</v>
      </c>
      <c r="H46" s="1">
        <f>D46-F46*Constants!$B$3/Constants!$B$1</f>
        <v>1.7087587016149386E-25</v>
      </c>
      <c r="I46">
        <v>6.6500000000000003E-11</v>
      </c>
      <c r="J46">
        <f t="shared" si="0"/>
        <v>1.2534954687823276E-12</v>
      </c>
      <c r="K46">
        <f t="shared" si="5"/>
        <v>3.559913961697789E-7</v>
      </c>
      <c r="L46">
        <f t="shared" si="2"/>
        <v>2809056.6535014836</v>
      </c>
      <c r="M46" s="1"/>
    </row>
    <row r="47" spans="1:13" hidden="1" x14ac:dyDescent="0.25">
      <c r="A47">
        <f t="shared" si="1"/>
        <v>46</v>
      </c>
      <c r="B47" t="s">
        <v>96</v>
      </c>
      <c r="C47" t="s">
        <v>97</v>
      </c>
      <c r="D47" s="1">
        <v>1.7671456752864078E-25</v>
      </c>
      <c r="E47">
        <v>2.02E-10</v>
      </c>
      <c r="F47">
        <v>2</v>
      </c>
      <c r="G47" s="1">
        <f>F47*Constants!$B$2</f>
        <v>3.1999999999999998E-19</v>
      </c>
      <c r="H47" s="1">
        <f>D47-F47*Constants!$B$3/Constants!$B$1</f>
        <v>1.7671274565159783E-25</v>
      </c>
      <c r="I47">
        <v>8.6E-11</v>
      </c>
      <c r="J47">
        <f t="shared" si="0"/>
        <v>1.6210618092523332E-12</v>
      </c>
      <c r="K47">
        <f t="shared" si="5"/>
        <v>5.5222733016124322E-7</v>
      </c>
      <c r="L47">
        <f t="shared" si="2"/>
        <v>1810848.4411809407</v>
      </c>
      <c r="M47" s="1"/>
    </row>
    <row r="48" spans="1:13" hidden="1" x14ac:dyDescent="0.25">
      <c r="A48">
        <f t="shared" si="1"/>
        <v>47</v>
      </c>
      <c r="B48" t="s">
        <v>98</v>
      </c>
      <c r="C48" t="s">
        <v>99</v>
      </c>
      <c r="D48" s="1">
        <v>1.7911902809790849E-25</v>
      </c>
      <c r="E48">
        <v>1.72E-10</v>
      </c>
      <c r="F48">
        <v>1</v>
      </c>
      <c r="G48" s="1">
        <f>F48*Constants!$B$2</f>
        <v>1.5999999999999999E-19</v>
      </c>
      <c r="H48" s="1">
        <f>D48-F48*Constants!$B$3/Constants!$B$1</f>
        <v>1.7911811715938703E-25</v>
      </c>
      <c r="I48">
        <v>1.15E-10</v>
      </c>
      <c r="J48">
        <f t="shared" si="0"/>
        <v>2.1676989309769574E-12</v>
      </c>
      <c r="K48">
        <f t="shared" si="5"/>
        <v>1.1194882322461689E-6</v>
      </c>
      <c r="L48">
        <f t="shared" si="2"/>
        <v>893265.30748212978</v>
      </c>
      <c r="M48" s="1"/>
    </row>
    <row r="49" spans="1:13" hidden="1" x14ac:dyDescent="0.25">
      <c r="A49">
        <f t="shared" si="1"/>
        <v>48</v>
      </c>
      <c r="B49" t="s">
        <v>100</v>
      </c>
      <c r="C49" t="s">
        <v>101</v>
      </c>
      <c r="D49" s="1">
        <v>1.8666119654101209E-25</v>
      </c>
      <c r="E49">
        <v>1.58E-10</v>
      </c>
      <c r="F49">
        <v>2</v>
      </c>
      <c r="G49" s="1">
        <f>F49*Constants!$B$2</f>
        <v>3.1999999999999998E-19</v>
      </c>
      <c r="H49" s="1">
        <f>D49-F49*Constants!$B$3/Constants!$B$1</f>
        <v>1.8665937466396914E-25</v>
      </c>
      <c r="I49">
        <v>9.4999999999999995E-11</v>
      </c>
      <c r="J49">
        <f t="shared" si="0"/>
        <v>1.7907078125461821E-12</v>
      </c>
      <c r="K49">
        <f t="shared" si="5"/>
        <v>5.8331054582490359E-7</v>
      </c>
      <c r="L49">
        <f t="shared" si="2"/>
        <v>1714352.6842735619</v>
      </c>
      <c r="M49" s="1"/>
    </row>
    <row r="50" spans="1:13" hidden="1" x14ac:dyDescent="0.25">
      <c r="A50">
        <f t="shared" si="1"/>
        <v>49</v>
      </c>
      <c r="B50" t="s">
        <v>102</v>
      </c>
      <c r="C50" t="s">
        <v>103</v>
      </c>
      <c r="D50" s="1">
        <v>1.9065977461476672E-25</v>
      </c>
      <c r="E50">
        <v>1.9300000000000001E-10</v>
      </c>
      <c r="F50">
        <v>3</v>
      </c>
      <c r="G50" s="1">
        <f>F50*Constants!$B$2</f>
        <v>4.7999999999999995E-19</v>
      </c>
      <c r="H50" s="1">
        <f>D50-F50*Constants!$B$3/Constants!$B$1</f>
        <v>1.906570417992023E-25</v>
      </c>
      <c r="I50">
        <v>7.9999999999999995E-11</v>
      </c>
      <c r="J50">
        <f t="shared" si="0"/>
        <v>1.5079644737231006E-12</v>
      </c>
      <c r="K50">
        <f t="shared" si="5"/>
        <v>3.9720217041500482E-7</v>
      </c>
      <c r="L50">
        <f t="shared" si="2"/>
        <v>2517609.606602048</v>
      </c>
      <c r="M50" s="1"/>
    </row>
    <row r="51" spans="1:13" hidden="1" x14ac:dyDescent="0.25">
      <c r="A51">
        <f t="shared" si="1"/>
        <v>50</v>
      </c>
      <c r="B51" t="s">
        <v>104</v>
      </c>
      <c r="C51" t="s">
        <v>105</v>
      </c>
      <c r="D51" s="1">
        <v>1.9712259266420731E-25</v>
      </c>
      <c r="E51">
        <v>2.17E-10</v>
      </c>
      <c r="F51">
        <v>4</v>
      </c>
      <c r="G51" s="1">
        <f>F51*Constants!$B$2</f>
        <v>6.3999999999999996E-19</v>
      </c>
      <c r="H51" s="1">
        <f>D51-F51*Constants!$B$3/Constants!$B$1</f>
        <v>1.9711894891012143E-25</v>
      </c>
      <c r="I51">
        <v>6.8999999999999994E-11</v>
      </c>
      <c r="J51">
        <f t="shared" si="0"/>
        <v>1.3006193585861743E-12</v>
      </c>
      <c r="K51">
        <f t="shared" si="5"/>
        <v>3.0799835767206477E-7</v>
      </c>
      <c r="L51">
        <f t="shared" si="2"/>
        <v>3246770.5592921716</v>
      </c>
      <c r="M51" s="1"/>
    </row>
    <row r="52" spans="1:13" hidden="1" x14ac:dyDescent="0.25">
      <c r="A52">
        <f t="shared" si="1"/>
        <v>51</v>
      </c>
      <c r="B52" t="s">
        <v>106</v>
      </c>
      <c r="C52" t="s">
        <v>107</v>
      </c>
      <c r="D52" s="1">
        <v>2.0218723681908758E-25</v>
      </c>
      <c r="E52">
        <v>2.0599999999999999E-10</v>
      </c>
      <c r="F52">
        <v>3</v>
      </c>
      <c r="G52" s="1">
        <f>F52*Constants!$B$2</f>
        <v>4.7999999999999995E-19</v>
      </c>
      <c r="H52" s="1">
        <f>D52-F52*Constants!$B$3/Constants!$B$1</f>
        <v>2.0218450400352316E-25</v>
      </c>
      <c r="I52">
        <v>7.5999999999999996E-11</v>
      </c>
      <c r="J52">
        <f t="shared" si="0"/>
        <v>1.4325662500369455E-12</v>
      </c>
      <c r="K52">
        <f t="shared" si="5"/>
        <v>4.2121771667400665E-7</v>
      </c>
      <c r="L52">
        <f t="shared" si="2"/>
        <v>2374069.1818381674</v>
      </c>
      <c r="M52" s="1"/>
    </row>
    <row r="53" spans="1:13" hidden="1" x14ac:dyDescent="0.25">
      <c r="A53">
        <f t="shared" si="1"/>
        <v>52</v>
      </c>
      <c r="B53" t="s">
        <v>108</v>
      </c>
      <c r="C53" t="s">
        <v>109</v>
      </c>
      <c r="D53" s="1">
        <v>2.1188478497138281E-25</v>
      </c>
      <c r="E53">
        <v>2.0599999999999999E-10</v>
      </c>
      <c r="F53">
        <v>-2</v>
      </c>
      <c r="G53" s="1">
        <f>F53*Constants!$B$2</f>
        <v>-3.1999999999999998E-19</v>
      </c>
      <c r="H53" s="1">
        <f>D53-F53*Constants!$B$3/Constants!$B$1</f>
        <v>2.1188660684842574E-25</v>
      </c>
      <c r="I53">
        <v>2.2099999999999999E-10</v>
      </c>
      <c r="J53">
        <f t="shared" si="0"/>
        <v>4.1657518586600652E-12</v>
      </c>
      <c r="K53">
        <f t="shared" si="5"/>
        <v>-6.6214564640133053E-7</v>
      </c>
      <c r="L53">
        <f t="shared" si="2"/>
        <v>-1510241.750338254</v>
      </c>
      <c r="M53" s="1"/>
    </row>
    <row r="54" spans="1:13" hidden="1" x14ac:dyDescent="0.25">
      <c r="A54">
        <f t="shared" si="1"/>
        <v>53</v>
      </c>
      <c r="B54" t="s">
        <v>110</v>
      </c>
      <c r="C54" t="s">
        <v>111</v>
      </c>
      <c r="D54" s="1">
        <v>2.1072988005016343E-25</v>
      </c>
      <c r="E54">
        <v>1.9799999999999999E-10</v>
      </c>
      <c r="F54">
        <v>-1</v>
      </c>
      <c r="G54" s="1">
        <f>F54*Constants!$B$2</f>
        <v>-1.5999999999999999E-19</v>
      </c>
      <c r="H54" s="1">
        <f>D54-F54*Constants!$B$3/Constants!$B$1</f>
        <v>2.1073079098868489E-25</v>
      </c>
      <c r="I54">
        <v>2.1999999999999999E-10</v>
      </c>
      <c r="J54">
        <f t="shared" si="0"/>
        <v>4.146902302738527E-12</v>
      </c>
      <c r="K54">
        <f t="shared" si="5"/>
        <v>-1.3170674436792806E-6</v>
      </c>
      <c r="L54">
        <f t="shared" si="2"/>
        <v>-759262.56077400257</v>
      </c>
      <c r="M54" s="1"/>
    </row>
    <row r="55" spans="1:13" hidden="1" x14ac:dyDescent="0.25">
      <c r="A55">
        <f t="shared" si="1"/>
        <v>54</v>
      </c>
      <c r="B55" t="s">
        <v>112</v>
      </c>
      <c r="C55" t="s">
        <v>113</v>
      </c>
      <c r="D55" s="1">
        <v>2.1801217412925434E-25</v>
      </c>
      <c r="E55">
        <v>2.16E-10</v>
      </c>
      <c r="G55" s="1"/>
      <c r="H55" s="1"/>
      <c r="J55">
        <f t="shared" si="0"/>
        <v>0</v>
      </c>
      <c r="M55" s="1"/>
    </row>
    <row r="56" spans="1:13" hidden="1" x14ac:dyDescent="0.25">
      <c r="A56">
        <f t="shared" si="1"/>
        <v>55</v>
      </c>
      <c r="B56" t="s">
        <v>114</v>
      </c>
      <c r="C56" t="s">
        <v>115</v>
      </c>
      <c r="D56" s="1">
        <v>2.2069469528639843E-25</v>
      </c>
      <c r="E56">
        <v>3.43E-10</v>
      </c>
      <c r="F56">
        <v>1</v>
      </c>
      <c r="G56" s="1">
        <f>F56*Constants!$B$2</f>
        <v>1.5999999999999999E-19</v>
      </c>
      <c r="H56" s="1">
        <f>D56-F56*Constants!$B$3/Constants!$B$1</f>
        <v>2.2069378434787696E-25</v>
      </c>
      <c r="I56">
        <v>1.6699999999999999E-10</v>
      </c>
      <c r="J56">
        <f t="shared" si="0"/>
        <v>3.1478758388969725E-12</v>
      </c>
      <c r="K56">
        <f>H56/G56</f>
        <v>1.379336152174231E-6</v>
      </c>
      <c r="L56">
        <f t="shared" si="2"/>
        <v>724986.43526722037</v>
      </c>
      <c r="M56" s="1"/>
    </row>
    <row r="57" spans="1:13" hidden="1" x14ac:dyDescent="0.25">
      <c r="A57">
        <f t="shared" si="1"/>
        <v>56</v>
      </c>
      <c r="B57" t="s">
        <v>116</v>
      </c>
      <c r="C57" t="s">
        <v>117</v>
      </c>
      <c r="D57" s="1">
        <v>2.2804183009498442E-25</v>
      </c>
      <c r="E57">
        <v>2.6800000000000001E-10</v>
      </c>
      <c r="F57">
        <v>2</v>
      </c>
      <c r="G57" s="1">
        <f>F57*Constants!$B$2</f>
        <v>3.1999999999999998E-19</v>
      </c>
      <c r="H57" s="1">
        <f>D57-F57*Constants!$B$3/Constants!$B$1</f>
        <v>2.280400082179415E-25</v>
      </c>
      <c r="I57">
        <v>1.35E-10</v>
      </c>
      <c r="J57">
        <f t="shared" si="0"/>
        <v>2.5446900494077324E-12</v>
      </c>
      <c r="K57">
        <f>H57/G57</f>
        <v>7.1262502568106722E-7</v>
      </c>
      <c r="L57">
        <f t="shared" si="2"/>
        <v>1403262.5349415478</v>
      </c>
      <c r="M57" s="1"/>
    </row>
    <row r="58" spans="1:13" hidden="1" x14ac:dyDescent="0.25">
      <c r="A58">
        <f t="shared" si="1"/>
        <v>57</v>
      </c>
      <c r="B58" t="s">
        <v>118</v>
      </c>
      <c r="C58" t="s">
        <v>119</v>
      </c>
      <c r="D58" s="1">
        <v>2.3065800939531677E-25</v>
      </c>
      <c r="E58">
        <v>2.4E-10</v>
      </c>
      <c r="G58" s="1"/>
      <c r="H58" s="1"/>
      <c r="J58">
        <f t="shared" si="0"/>
        <v>0</v>
      </c>
      <c r="M58" s="1"/>
    </row>
    <row r="59" spans="1:13" hidden="1" x14ac:dyDescent="0.25">
      <c r="A59">
        <f t="shared" si="1"/>
        <v>58</v>
      </c>
      <c r="B59" t="s">
        <v>120</v>
      </c>
      <c r="C59" t="s">
        <v>121</v>
      </c>
      <c r="D59" s="1">
        <v>2.3266809193613072E-25</v>
      </c>
      <c r="E59">
        <v>2.3500000000000002E-10</v>
      </c>
      <c r="G59" s="1"/>
      <c r="H59" s="1"/>
      <c r="J59">
        <f t="shared" si="0"/>
        <v>0</v>
      </c>
      <c r="M59" s="1"/>
    </row>
    <row r="60" spans="1:13" hidden="1" x14ac:dyDescent="0.25">
      <c r="A60">
        <f t="shared" si="1"/>
        <v>59</v>
      </c>
      <c r="B60" t="s">
        <v>122</v>
      </c>
      <c r="C60" t="s">
        <v>123</v>
      </c>
      <c r="D60" s="1">
        <v>2.3398267429404954E-25</v>
      </c>
      <c r="E60">
        <v>2.39E-10</v>
      </c>
      <c r="G60" s="1"/>
      <c r="H60" s="1"/>
      <c r="J60">
        <f t="shared" si="0"/>
        <v>0</v>
      </c>
      <c r="M60" s="1"/>
    </row>
    <row r="61" spans="1:13" hidden="1" x14ac:dyDescent="0.25">
      <c r="A61">
        <f t="shared" si="1"/>
        <v>60</v>
      </c>
      <c r="B61" t="s">
        <v>124</v>
      </c>
      <c r="C61" t="s">
        <v>125</v>
      </c>
      <c r="D61" s="1">
        <v>2.3951615504915565E-25</v>
      </c>
      <c r="E61">
        <v>2.2899999999999998E-10</v>
      </c>
      <c r="G61" s="1"/>
      <c r="H61" s="1"/>
      <c r="J61">
        <f t="shared" si="0"/>
        <v>0</v>
      </c>
      <c r="M61" s="1"/>
    </row>
    <row r="62" spans="1:13" hidden="1" x14ac:dyDescent="0.25">
      <c r="A62">
        <f t="shared" si="1"/>
        <v>61</v>
      </c>
      <c r="B62" t="s">
        <v>126</v>
      </c>
      <c r="C62" t="s">
        <v>127</v>
      </c>
      <c r="D62" s="1">
        <v>2.4063329931198753E-25</v>
      </c>
      <c r="E62">
        <v>2.3600000000000001E-10</v>
      </c>
      <c r="G62" s="1"/>
      <c r="H62" s="1"/>
      <c r="J62">
        <f t="shared" si="0"/>
        <v>0</v>
      </c>
      <c r="M62" s="1"/>
    </row>
    <row r="63" spans="1:13" hidden="1" x14ac:dyDescent="0.25">
      <c r="A63">
        <f t="shared" si="1"/>
        <v>62</v>
      </c>
      <c r="B63" t="s">
        <v>128</v>
      </c>
      <c r="C63" t="s">
        <v>129</v>
      </c>
      <c r="D63" s="1">
        <v>2.4974507570294654E-25</v>
      </c>
      <c r="E63">
        <v>2.2899999999999998E-10</v>
      </c>
      <c r="G63" s="1"/>
      <c r="H63" s="1"/>
      <c r="J63">
        <f t="shared" si="0"/>
        <v>0</v>
      </c>
      <c r="M63" s="1"/>
    </row>
    <row r="64" spans="1:13" hidden="1" x14ac:dyDescent="0.25">
      <c r="A64">
        <f t="shared" si="1"/>
        <v>63</v>
      </c>
      <c r="B64" t="s">
        <v>130</v>
      </c>
      <c r="C64" t="s">
        <v>131</v>
      </c>
      <c r="D64" s="1">
        <v>2.5234215880400644E-25</v>
      </c>
      <c r="E64">
        <v>2.3299999999999997E-10</v>
      </c>
      <c r="G64" s="1"/>
      <c r="H64" s="1"/>
      <c r="J64">
        <f t="shared" si="0"/>
        <v>0</v>
      </c>
      <c r="M64" s="1"/>
    </row>
    <row r="65" spans="1:13" hidden="1" x14ac:dyDescent="0.25">
      <c r="A65">
        <f t="shared" si="1"/>
        <v>64</v>
      </c>
      <c r="B65" t="s">
        <v>132</v>
      </c>
      <c r="C65" t="s">
        <v>133</v>
      </c>
      <c r="D65" s="1">
        <v>2.6111976831308742E-25</v>
      </c>
      <c r="E65">
        <v>2.3700000000000001E-10</v>
      </c>
      <c r="G65" s="1"/>
      <c r="H65" s="1"/>
      <c r="J65">
        <f t="shared" si="0"/>
        <v>0</v>
      </c>
      <c r="M65" s="1"/>
    </row>
    <row r="66" spans="1:13" hidden="1" x14ac:dyDescent="0.25">
      <c r="A66">
        <f t="shared" si="1"/>
        <v>65</v>
      </c>
      <c r="B66" t="s">
        <v>134</v>
      </c>
      <c r="C66" t="s">
        <v>135</v>
      </c>
      <c r="D66" s="1">
        <v>2.6390175243927712E-25</v>
      </c>
      <c r="E66">
        <v>2.2099999999999999E-10</v>
      </c>
      <c r="G66" s="1"/>
      <c r="H66" s="1"/>
      <c r="J66">
        <f t="shared" si="0"/>
        <v>0</v>
      </c>
      <c r="M66" s="1"/>
    </row>
    <row r="67" spans="1:13" hidden="1" x14ac:dyDescent="0.25">
      <c r="A67">
        <f t="shared" si="1"/>
        <v>66</v>
      </c>
      <c r="B67" t="s">
        <v>136</v>
      </c>
      <c r="C67" t="s">
        <v>137</v>
      </c>
      <c r="D67" s="1">
        <v>2.6983759841575012E-25</v>
      </c>
      <c r="E67">
        <v>2.2899999999999998E-10</v>
      </c>
      <c r="G67" s="1"/>
      <c r="H67" s="1"/>
      <c r="J67">
        <f t="shared" ref="J67:J120" si="6">6*PI()*0.001*I67</f>
        <v>0</v>
      </c>
      <c r="M67" s="1"/>
    </row>
    <row r="68" spans="1:13" hidden="1" x14ac:dyDescent="0.25">
      <c r="A68">
        <f t="shared" ref="A68:A119" si="7">A67+1</f>
        <v>67</v>
      </c>
      <c r="B68" t="s">
        <v>138</v>
      </c>
      <c r="C68" t="s">
        <v>139</v>
      </c>
      <c r="D68" s="1">
        <v>2.7387325632687471E-25</v>
      </c>
      <c r="E68">
        <v>2.16E-10</v>
      </c>
      <c r="G68" s="1"/>
      <c r="H68" s="1"/>
      <c r="J68">
        <f t="shared" si="6"/>
        <v>0</v>
      </c>
      <c r="M68" s="1"/>
    </row>
    <row r="69" spans="1:13" hidden="1" x14ac:dyDescent="0.25">
      <c r="A69">
        <f t="shared" si="7"/>
        <v>68</v>
      </c>
      <c r="B69" t="s">
        <v>140</v>
      </c>
      <c r="C69" t="s">
        <v>141</v>
      </c>
      <c r="D69" s="1">
        <v>2.7774176437549759E-25</v>
      </c>
      <c r="E69">
        <v>2.3500000000000002E-10</v>
      </c>
      <c r="G69" s="1"/>
      <c r="H69" s="1"/>
      <c r="J69">
        <f t="shared" si="6"/>
        <v>0</v>
      </c>
      <c r="M69" s="1"/>
    </row>
    <row r="70" spans="1:13" hidden="1" x14ac:dyDescent="0.25">
      <c r="A70">
        <f t="shared" si="7"/>
        <v>69</v>
      </c>
      <c r="B70" t="s">
        <v>142</v>
      </c>
      <c r="C70" t="s">
        <v>143</v>
      </c>
      <c r="D70" s="1">
        <v>2.8052187209254143E-25</v>
      </c>
      <c r="E70">
        <v>2.2699999999999999E-10</v>
      </c>
      <c r="G70" s="1"/>
      <c r="H70" s="1"/>
      <c r="J70">
        <f t="shared" si="6"/>
        <v>0</v>
      </c>
      <c r="M70" s="1"/>
    </row>
    <row r="71" spans="1:13" hidden="1" x14ac:dyDescent="0.25">
      <c r="A71">
        <f t="shared" si="7"/>
        <v>70</v>
      </c>
      <c r="B71" t="s">
        <v>144</v>
      </c>
      <c r="C71" t="s">
        <v>145</v>
      </c>
      <c r="D71" s="1">
        <v>2.8735628557443415E-25</v>
      </c>
      <c r="E71">
        <v>2.4199999999999999E-10</v>
      </c>
      <c r="G71" s="1"/>
      <c r="H71" s="1"/>
      <c r="J71">
        <f t="shared" si="6"/>
        <v>0</v>
      </c>
      <c r="M71" s="1"/>
    </row>
    <row r="72" spans="1:13" hidden="1" x14ac:dyDescent="0.25">
      <c r="A72">
        <f t="shared" si="7"/>
        <v>71</v>
      </c>
      <c r="B72" t="s">
        <v>146</v>
      </c>
      <c r="C72" t="s">
        <v>147</v>
      </c>
      <c r="D72" s="1">
        <v>2.905390408044863E-25</v>
      </c>
      <c r="E72">
        <v>2.2099999999999999E-10</v>
      </c>
      <c r="G72" s="1"/>
      <c r="H72" s="1"/>
      <c r="J72">
        <f t="shared" si="6"/>
        <v>0</v>
      </c>
      <c r="M72" s="1"/>
    </row>
    <row r="73" spans="1:13" hidden="1" x14ac:dyDescent="0.25">
      <c r="A73">
        <f t="shared" si="7"/>
        <v>72</v>
      </c>
      <c r="B73" t="s">
        <v>148</v>
      </c>
      <c r="C73" t="s">
        <v>149</v>
      </c>
      <c r="D73" s="1">
        <v>2.9638961809985993E-25</v>
      </c>
      <c r="E73">
        <v>2.1199999999999999E-10</v>
      </c>
      <c r="F73">
        <v>4</v>
      </c>
      <c r="G73" s="1">
        <f>F73*Constants!$B$2</f>
        <v>6.3999999999999996E-19</v>
      </c>
      <c r="H73" s="1">
        <f>D73-F73*Constants!$B$3/Constants!$B$1</f>
        <v>2.9638597434577403E-25</v>
      </c>
      <c r="I73">
        <v>7.1E-11</v>
      </c>
      <c r="J73">
        <f t="shared" si="6"/>
        <v>1.338318470429252E-12</v>
      </c>
      <c r="K73">
        <f t="shared" ref="K73:K84" si="8">H73/G73</f>
        <v>4.6310308491527196E-7</v>
      </c>
      <c r="L73">
        <f t="shared" ref="L73:L84" si="9">K73^-1</f>
        <v>2159346.4448265489</v>
      </c>
      <c r="M73" s="1"/>
    </row>
    <row r="74" spans="1:13" hidden="1" x14ac:dyDescent="0.25">
      <c r="A74">
        <f t="shared" si="7"/>
        <v>73</v>
      </c>
      <c r="B74" t="s">
        <v>150</v>
      </c>
      <c r="C74" t="s">
        <v>151</v>
      </c>
      <c r="D74" s="1">
        <v>3.0047105707306649E-25</v>
      </c>
      <c r="E74">
        <v>2.17E-10</v>
      </c>
      <c r="F74">
        <v>3</v>
      </c>
      <c r="G74" s="1">
        <f>F74*Constants!$B$2</f>
        <v>4.7999999999999995E-19</v>
      </c>
      <c r="H74" s="1">
        <f>D74-F74*Constants!$B$3/Constants!$B$1</f>
        <v>3.004683242575021E-25</v>
      </c>
      <c r="I74">
        <v>7.1999999999999997E-11</v>
      </c>
      <c r="J74">
        <f t="shared" si="6"/>
        <v>1.3571680263507906E-12</v>
      </c>
      <c r="K74">
        <f t="shared" si="8"/>
        <v>6.2597567553646279E-7</v>
      </c>
      <c r="L74">
        <f t="shared" si="9"/>
        <v>1597506.1637067564</v>
      </c>
      <c r="M74" s="1"/>
    </row>
    <row r="75" spans="1:13" hidden="1" x14ac:dyDescent="0.25">
      <c r="A75">
        <f t="shared" si="7"/>
        <v>74</v>
      </c>
      <c r="B75" t="s">
        <v>152</v>
      </c>
      <c r="C75" t="s">
        <v>153</v>
      </c>
      <c r="D75" s="1">
        <v>3.0527350210923998E-25</v>
      </c>
      <c r="E75">
        <v>2.1E-10</v>
      </c>
      <c r="F75">
        <v>4</v>
      </c>
      <c r="G75" s="1">
        <f>F75*Constants!$B$2</f>
        <v>6.3999999999999996E-19</v>
      </c>
      <c r="H75" s="1">
        <f>D75-F75*Constants!$B$3/Constants!$B$1</f>
        <v>3.0526985835515408E-25</v>
      </c>
      <c r="I75">
        <v>6.6000000000000005E-11</v>
      </c>
      <c r="J75">
        <f t="shared" si="6"/>
        <v>1.2440706908215583E-12</v>
      </c>
      <c r="K75">
        <f t="shared" si="8"/>
        <v>4.7698415367992823E-7</v>
      </c>
      <c r="L75">
        <f t="shared" si="9"/>
        <v>2096505.7062902604</v>
      </c>
      <c r="M75" s="1"/>
    </row>
    <row r="76" spans="1:13" hidden="1" x14ac:dyDescent="0.25">
      <c r="A76">
        <f t="shared" si="7"/>
        <v>75</v>
      </c>
      <c r="B76" t="s">
        <v>154</v>
      </c>
      <c r="C76" t="s">
        <v>155</v>
      </c>
      <c r="D76" s="1">
        <v>3.0920399808124049E-25</v>
      </c>
      <c r="E76">
        <v>2.17E-10</v>
      </c>
      <c r="F76">
        <v>4</v>
      </c>
      <c r="G76" s="1">
        <f>F76*Constants!$B$2</f>
        <v>6.3999999999999996E-19</v>
      </c>
      <c r="H76" s="1">
        <f>D76-F76*Constants!$B$3/Constants!$B$1</f>
        <v>3.0920035432715459E-25</v>
      </c>
      <c r="I76">
        <v>6.3000000000000002E-11</v>
      </c>
      <c r="J76">
        <f t="shared" si="6"/>
        <v>1.1875220230569418E-12</v>
      </c>
      <c r="K76">
        <f t="shared" si="8"/>
        <v>4.8312555363617905E-7</v>
      </c>
      <c r="L76">
        <f t="shared" si="9"/>
        <v>2069855.3253365206</v>
      </c>
      <c r="M76" s="1"/>
    </row>
    <row r="77" spans="1:13" hidden="1" x14ac:dyDescent="0.25">
      <c r="A77">
        <f t="shared" si="7"/>
        <v>76</v>
      </c>
      <c r="B77" t="s">
        <v>156</v>
      </c>
      <c r="C77" t="s">
        <v>157</v>
      </c>
      <c r="D77" s="1">
        <v>3.1583453057646563E-25</v>
      </c>
      <c r="E77">
        <v>2.16E-10</v>
      </c>
      <c r="F77">
        <v>4</v>
      </c>
      <c r="G77" s="1">
        <f>F77*Constants!$B$2</f>
        <v>6.3999999999999996E-19</v>
      </c>
      <c r="H77" s="1">
        <f>D77-F77*Constants!$B$3/Constants!$B$1</f>
        <v>3.1583088682237973E-25</v>
      </c>
      <c r="I77">
        <v>6.3000000000000002E-11</v>
      </c>
      <c r="J77">
        <f t="shared" si="6"/>
        <v>1.1875220230569418E-12</v>
      </c>
      <c r="K77">
        <f t="shared" si="8"/>
        <v>4.934857606599684E-7</v>
      </c>
      <c r="L77">
        <f t="shared" si="9"/>
        <v>2026400.9211991029</v>
      </c>
      <c r="M77" s="1"/>
    </row>
    <row r="78" spans="1:13" hidden="1" x14ac:dyDescent="0.25">
      <c r="A78">
        <f t="shared" si="7"/>
        <v>77</v>
      </c>
      <c r="B78" t="s">
        <v>158</v>
      </c>
      <c r="C78" t="s">
        <v>159</v>
      </c>
      <c r="D78" s="1">
        <v>3.191888194921568E-25</v>
      </c>
      <c r="E78">
        <v>2.02E-10</v>
      </c>
      <c r="F78">
        <v>3</v>
      </c>
      <c r="G78" s="1">
        <f>F78*Constants!$B$2</f>
        <v>4.7999999999999995E-19</v>
      </c>
      <c r="H78" s="1">
        <f>D78-F78*Constants!$B$3/Constants!$B$1</f>
        <v>3.1918608667659241E-25</v>
      </c>
      <c r="I78">
        <v>6.7999999999999998E-11</v>
      </c>
      <c r="J78">
        <f t="shared" si="6"/>
        <v>1.2817698026646355E-12</v>
      </c>
      <c r="K78">
        <f t="shared" si="8"/>
        <v>6.6497101390956756E-7</v>
      </c>
      <c r="L78">
        <f t="shared" si="9"/>
        <v>1503824.9473773222</v>
      </c>
      <c r="M78" s="1"/>
    </row>
    <row r="79" spans="1:13" hidden="1" x14ac:dyDescent="0.25">
      <c r="A79">
        <f t="shared" si="7"/>
        <v>78</v>
      </c>
      <c r="B79" t="s">
        <v>160</v>
      </c>
      <c r="C79" t="s">
        <v>161</v>
      </c>
      <c r="D79" s="1">
        <v>3.2393796122427404E-25</v>
      </c>
      <c r="E79">
        <v>2.09E-10</v>
      </c>
      <c r="F79">
        <v>2</v>
      </c>
      <c r="G79" s="1">
        <f>F79*Constants!$B$2</f>
        <v>3.1999999999999998E-19</v>
      </c>
      <c r="H79" s="1">
        <f>D79-F79*Constants!$B$3/Constants!$B$1</f>
        <v>3.2393613934723112E-25</v>
      </c>
      <c r="I79">
        <v>7.9999999999999995E-11</v>
      </c>
      <c r="J79">
        <f t="shared" si="6"/>
        <v>1.5079644737231006E-12</v>
      </c>
      <c r="K79">
        <f t="shared" si="8"/>
        <v>1.0123004354600973E-6</v>
      </c>
      <c r="L79">
        <f t="shared" si="9"/>
        <v>987849.02680150815</v>
      </c>
      <c r="M79" s="1"/>
    </row>
    <row r="80" spans="1:13" hidden="1" x14ac:dyDescent="0.25">
      <c r="A80">
        <f t="shared" si="7"/>
        <v>79</v>
      </c>
      <c r="B80" t="s">
        <v>162</v>
      </c>
      <c r="C80" t="s">
        <v>163</v>
      </c>
      <c r="D80" s="1">
        <v>3.2707068441223213E-25</v>
      </c>
      <c r="E80">
        <v>1.66E-10</v>
      </c>
      <c r="F80">
        <v>1</v>
      </c>
      <c r="G80" s="1">
        <f>F80*Constants!$B$2</f>
        <v>1.5999999999999999E-19</v>
      </c>
      <c r="H80" s="1">
        <f>D80-F80*Constants!$B$3/Constants!$B$1</f>
        <v>3.2706977347371066E-25</v>
      </c>
      <c r="I80">
        <v>1.3699999999999999E-10</v>
      </c>
      <c r="J80">
        <f t="shared" si="6"/>
        <v>2.5823891612508096E-12</v>
      </c>
      <c r="K80">
        <f t="shared" si="8"/>
        <v>2.0441860842106916E-6</v>
      </c>
      <c r="L80">
        <f t="shared" si="9"/>
        <v>489192.2549145635</v>
      </c>
      <c r="M80" s="1"/>
    </row>
    <row r="81" spans="1:13" hidden="1" x14ac:dyDescent="0.25">
      <c r="A81">
        <f t="shared" si="7"/>
        <v>80</v>
      </c>
      <c r="B81" t="s">
        <v>164</v>
      </c>
      <c r="C81" t="s">
        <v>165</v>
      </c>
      <c r="D81" s="1">
        <v>3.330875314844019E-25</v>
      </c>
      <c r="E81">
        <v>2.09E-10</v>
      </c>
      <c r="F81">
        <v>2</v>
      </c>
      <c r="G81" s="1">
        <f>F81*Constants!$B$2</f>
        <v>3.1999999999999998E-19</v>
      </c>
      <c r="H81" s="1">
        <f>D81-F81*Constants!$B$3/Constants!$B$1</f>
        <v>3.3308570960735897E-25</v>
      </c>
      <c r="I81">
        <v>1.02E-10</v>
      </c>
      <c r="J81">
        <f t="shared" si="6"/>
        <v>1.9226547039969533E-12</v>
      </c>
      <c r="K81">
        <f t="shared" si="8"/>
        <v>1.0408928425229968E-6</v>
      </c>
      <c r="L81">
        <f t="shared" si="9"/>
        <v>960713.68650794297</v>
      </c>
      <c r="M81" s="1"/>
    </row>
    <row r="82" spans="1:13" hidden="1" x14ac:dyDescent="0.25">
      <c r="A82">
        <f t="shared" si="7"/>
        <v>81</v>
      </c>
      <c r="B82" t="s">
        <v>166</v>
      </c>
      <c r="C82" t="s">
        <v>167</v>
      </c>
      <c r="D82" s="1">
        <v>3.3938595616619233E-25</v>
      </c>
      <c r="E82">
        <v>1.96E-10</v>
      </c>
      <c r="F82">
        <v>3</v>
      </c>
      <c r="G82" s="1">
        <f>F82*Constants!$B$2</f>
        <v>4.7999999999999995E-19</v>
      </c>
      <c r="H82" s="1">
        <f>D82-F82*Constants!$B$3/Constants!$B$1</f>
        <v>3.3938322335062794E-25</v>
      </c>
      <c r="I82">
        <v>8.8500000000000005E-11</v>
      </c>
      <c r="J82">
        <f t="shared" si="6"/>
        <v>1.6681856990561802E-12</v>
      </c>
      <c r="K82">
        <f t="shared" si="8"/>
        <v>7.0704838198047497E-7</v>
      </c>
      <c r="L82">
        <f t="shared" si="9"/>
        <v>1414330.3704322951</v>
      </c>
      <c r="M82" s="1"/>
    </row>
    <row r="83" spans="1:13" hidden="1" x14ac:dyDescent="0.25">
      <c r="A83">
        <f t="shared" si="7"/>
        <v>82</v>
      </c>
      <c r="B83" t="s">
        <v>168</v>
      </c>
      <c r="C83" t="s">
        <v>169</v>
      </c>
      <c r="D83" s="1">
        <v>3.4373158690498622E-25</v>
      </c>
      <c r="E83">
        <v>2.02E-10</v>
      </c>
      <c r="F83">
        <v>4</v>
      </c>
      <c r="G83" s="1">
        <f>F83*Constants!$B$2</f>
        <v>6.3999999999999996E-19</v>
      </c>
      <c r="H83" s="1">
        <f>D83-F83*Constants!$B$3/Constants!$B$1</f>
        <v>3.4372794315090032E-25</v>
      </c>
      <c r="I83">
        <v>7.7500000000000004E-11</v>
      </c>
      <c r="J83">
        <f t="shared" si="6"/>
        <v>1.4608405839192539E-12</v>
      </c>
      <c r="K83">
        <f t="shared" si="8"/>
        <v>5.3707491117328182E-7</v>
      </c>
      <c r="L83">
        <f t="shared" si="9"/>
        <v>1861937.6537537796</v>
      </c>
      <c r="M83" s="1"/>
    </row>
    <row r="84" spans="1:13" hidden="1" x14ac:dyDescent="0.25">
      <c r="A84">
        <f t="shared" si="7"/>
        <v>83</v>
      </c>
      <c r="B84" t="s">
        <v>170</v>
      </c>
      <c r="C84" t="s">
        <v>171</v>
      </c>
      <c r="D84" s="1">
        <v>3.4702011847361732E-25</v>
      </c>
      <c r="E84">
        <v>2.0699999999999998E-10</v>
      </c>
      <c r="F84">
        <v>3</v>
      </c>
      <c r="G84" s="1">
        <f>F84*Constants!$B$2</f>
        <v>4.7999999999999995E-19</v>
      </c>
      <c r="H84" s="1">
        <f>D84-F84*Constants!$B$3/Constants!$B$1</f>
        <v>3.4701738565805293E-25</v>
      </c>
      <c r="I84">
        <v>1.0299999999999999E-10</v>
      </c>
      <c r="J84">
        <f t="shared" si="6"/>
        <v>1.9415042599184919E-12</v>
      </c>
      <c r="K84">
        <f t="shared" si="8"/>
        <v>7.2295288678761029E-7</v>
      </c>
      <c r="L84">
        <f t="shared" si="9"/>
        <v>1383215.999653074</v>
      </c>
      <c r="M84" s="1"/>
    </row>
    <row r="85" spans="1:13" hidden="1" x14ac:dyDescent="0.25">
      <c r="A85">
        <f t="shared" si="7"/>
        <v>84</v>
      </c>
      <c r="B85" t="s">
        <v>172</v>
      </c>
      <c r="C85" t="s">
        <v>173</v>
      </c>
      <c r="D85" s="1">
        <v>3.4702348936792371E-25</v>
      </c>
      <c r="E85">
        <v>1.9699999999999999E-10</v>
      </c>
      <c r="G85" s="1"/>
      <c r="H85" s="1"/>
      <c r="J85">
        <f t="shared" si="6"/>
        <v>0</v>
      </c>
      <c r="M85" s="1"/>
    </row>
    <row r="86" spans="1:13" hidden="1" x14ac:dyDescent="0.25">
      <c r="A86">
        <f t="shared" si="7"/>
        <v>85</v>
      </c>
      <c r="B86" t="s">
        <v>174</v>
      </c>
      <c r="C86" t="s">
        <v>175</v>
      </c>
      <c r="D86" s="1">
        <v>3.4869186617949462E-25</v>
      </c>
      <c r="E86">
        <v>2.02E-10</v>
      </c>
      <c r="G86" s="1"/>
      <c r="H86" s="1"/>
      <c r="J86">
        <f t="shared" si="6"/>
        <v>0</v>
      </c>
      <c r="M86" s="1"/>
    </row>
    <row r="87" spans="1:13" hidden="1" x14ac:dyDescent="0.25">
      <c r="A87">
        <f t="shared" si="7"/>
        <v>86</v>
      </c>
      <c r="B87" t="s">
        <v>176</v>
      </c>
      <c r="C87" t="s">
        <v>177</v>
      </c>
      <c r="D87" s="1">
        <v>3.6866886518939494E-25</v>
      </c>
      <c r="E87">
        <v>2.1999999999999999E-10</v>
      </c>
      <c r="G87" s="1"/>
      <c r="H87" s="1"/>
      <c r="J87">
        <f t="shared" si="6"/>
        <v>0</v>
      </c>
      <c r="M87" s="1"/>
    </row>
    <row r="88" spans="1:13" hidden="1" x14ac:dyDescent="0.25">
      <c r="A88">
        <f t="shared" si="7"/>
        <v>87</v>
      </c>
      <c r="B88" t="s">
        <v>178</v>
      </c>
      <c r="C88" t="s">
        <v>179</v>
      </c>
      <c r="D88" s="1">
        <v>3.7033297441556318E-25</v>
      </c>
      <c r="E88">
        <v>3.4799999999999999E-10</v>
      </c>
      <c r="G88" s="1"/>
      <c r="H88" s="1"/>
      <c r="J88">
        <f t="shared" si="6"/>
        <v>0</v>
      </c>
      <c r="M88" s="1"/>
    </row>
    <row r="89" spans="1:13" hidden="1" x14ac:dyDescent="0.25">
      <c r="A89">
        <f t="shared" si="7"/>
        <v>88</v>
      </c>
      <c r="B89" t="s">
        <v>180</v>
      </c>
      <c r="C89" t="s">
        <v>181</v>
      </c>
      <c r="D89" s="1">
        <v>3.7532402347898622E-25</v>
      </c>
      <c r="E89">
        <v>2.8300000000000001E-10</v>
      </c>
      <c r="G89" s="1"/>
      <c r="H89" s="1"/>
      <c r="J89">
        <f t="shared" si="6"/>
        <v>0</v>
      </c>
      <c r="M89" s="1"/>
    </row>
    <row r="90" spans="1:13" hidden="1" x14ac:dyDescent="0.25">
      <c r="A90">
        <f t="shared" si="7"/>
        <v>89</v>
      </c>
      <c r="B90" t="s">
        <v>182</v>
      </c>
      <c r="C90" t="s">
        <v>183</v>
      </c>
      <c r="D90" s="1">
        <v>3.7698844820757727E-25</v>
      </c>
      <c r="E90">
        <v>2.5999999999999998E-10</v>
      </c>
      <c r="G90" s="1"/>
      <c r="H90" s="1"/>
      <c r="J90">
        <f t="shared" si="6"/>
        <v>0</v>
      </c>
      <c r="M90" s="1"/>
    </row>
    <row r="91" spans="1:13" hidden="1" x14ac:dyDescent="0.25">
      <c r="A91">
        <f t="shared" si="7"/>
        <v>90</v>
      </c>
      <c r="B91" t="s">
        <v>184</v>
      </c>
      <c r="C91" t="s">
        <v>185</v>
      </c>
      <c r="D91" s="1">
        <v>3.8530816406888505E-25</v>
      </c>
      <c r="E91">
        <v>2.3700000000000001E-10</v>
      </c>
      <c r="G91" s="1"/>
      <c r="H91" s="1"/>
      <c r="J91">
        <f t="shared" si="6"/>
        <v>0</v>
      </c>
      <c r="M91" s="1"/>
    </row>
    <row r="92" spans="1:13" hidden="1" x14ac:dyDescent="0.25">
      <c r="A92">
        <f t="shared" si="7"/>
        <v>91</v>
      </c>
      <c r="B92" t="s">
        <v>186</v>
      </c>
      <c r="C92" t="s">
        <v>187</v>
      </c>
      <c r="D92" s="1">
        <v>3.8364410465888877E-25</v>
      </c>
      <c r="E92">
        <v>2.4299999999999999E-10</v>
      </c>
      <c r="G92" s="1"/>
      <c r="H92" s="1"/>
      <c r="J92">
        <f t="shared" si="6"/>
        <v>0</v>
      </c>
      <c r="M92" s="1"/>
    </row>
    <row r="93" spans="1:13" hidden="1" x14ac:dyDescent="0.25">
      <c r="A93">
        <f t="shared" si="7"/>
        <v>92</v>
      </c>
      <c r="B93" t="s">
        <v>188</v>
      </c>
      <c r="C93" t="s">
        <v>189</v>
      </c>
      <c r="D93" s="1">
        <v>3.9525628756641684E-25</v>
      </c>
      <c r="E93">
        <v>2.4E-10</v>
      </c>
      <c r="G93" s="1"/>
      <c r="H93" s="1"/>
      <c r="J93">
        <f t="shared" si="6"/>
        <v>0</v>
      </c>
      <c r="M93" s="1"/>
    </row>
    <row r="94" spans="1:13" hidden="1" x14ac:dyDescent="0.25">
      <c r="A94">
        <f t="shared" si="7"/>
        <v>93</v>
      </c>
      <c r="B94" t="s">
        <v>190</v>
      </c>
      <c r="C94" t="s">
        <v>191</v>
      </c>
      <c r="D94" s="1">
        <v>3.9362775040814556E-25</v>
      </c>
      <c r="E94">
        <v>2.2099999999999999E-10</v>
      </c>
      <c r="G94" s="1"/>
      <c r="H94" s="1"/>
      <c r="J94">
        <f t="shared" si="6"/>
        <v>0</v>
      </c>
      <c r="M94" s="1"/>
    </row>
    <row r="95" spans="1:13" hidden="1" x14ac:dyDescent="0.25">
      <c r="A95">
        <f t="shared" si="7"/>
        <v>94</v>
      </c>
      <c r="B95" t="s">
        <v>192</v>
      </c>
      <c r="C95" t="s">
        <v>193</v>
      </c>
      <c r="D95" s="1">
        <v>4.0527813899853116E-25</v>
      </c>
      <c r="E95">
        <v>2.4299999999999999E-10</v>
      </c>
      <c r="G95" s="1"/>
      <c r="H95" s="1"/>
      <c r="J95">
        <f t="shared" si="6"/>
        <v>0</v>
      </c>
      <c r="M95" s="1"/>
    </row>
    <row r="96" spans="1:13" hidden="1" x14ac:dyDescent="0.25">
      <c r="A96">
        <f t="shared" si="7"/>
        <v>95</v>
      </c>
      <c r="B96" t="s">
        <v>194</v>
      </c>
      <c r="C96" t="s">
        <v>195</v>
      </c>
      <c r="D96" s="1">
        <v>4.0361291721118794E-25</v>
      </c>
      <c r="E96">
        <v>2.4399999999999998E-10</v>
      </c>
      <c r="G96" s="1"/>
      <c r="H96" s="1"/>
      <c r="J96">
        <f t="shared" si="6"/>
        <v>0</v>
      </c>
      <c r="M96" s="1"/>
    </row>
    <row r="97" spans="1:13" hidden="1" x14ac:dyDescent="0.25">
      <c r="A97">
        <f t="shared" si="7"/>
        <v>96</v>
      </c>
      <c r="B97" t="s">
        <v>196</v>
      </c>
      <c r="C97" t="s">
        <v>197</v>
      </c>
      <c r="D97" s="1">
        <v>4.102699685153158E-25</v>
      </c>
      <c r="E97">
        <v>2.4499999999999998E-10</v>
      </c>
      <c r="G97" s="1"/>
      <c r="H97" s="1"/>
      <c r="J97">
        <f t="shared" si="6"/>
        <v>0</v>
      </c>
      <c r="M97" s="1"/>
    </row>
    <row r="98" spans="1:13" hidden="1" x14ac:dyDescent="0.25">
      <c r="A98">
        <f t="shared" si="7"/>
        <v>97</v>
      </c>
      <c r="B98" t="s">
        <v>198</v>
      </c>
      <c r="C98" t="s">
        <v>199</v>
      </c>
      <c r="D98" s="1">
        <v>4.1026990209375312E-25</v>
      </c>
      <c r="E98">
        <v>2.4399999999999998E-10</v>
      </c>
      <c r="G98" s="1"/>
      <c r="H98" s="1"/>
      <c r="J98">
        <f t="shared" si="6"/>
        <v>0</v>
      </c>
      <c r="M98" s="1"/>
    </row>
    <row r="99" spans="1:13" hidden="1" x14ac:dyDescent="0.25">
      <c r="A99">
        <f t="shared" si="7"/>
        <v>98</v>
      </c>
      <c r="B99" t="s">
        <v>200</v>
      </c>
      <c r="C99" t="s">
        <v>201</v>
      </c>
      <c r="D99" s="1">
        <v>4.1692746816499188E-25</v>
      </c>
      <c r="E99">
        <v>2.4499999999999998E-10</v>
      </c>
      <c r="G99" s="1"/>
      <c r="H99" s="1"/>
      <c r="J99">
        <f t="shared" si="6"/>
        <v>0</v>
      </c>
      <c r="M99" s="1"/>
    </row>
    <row r="100" spans="1:13" hidden="1" x14ac:dyDescent="0.25">
      <c r="A100">
        <f t="shared" si="7"/>
        <v>99</v>
      </c>
      <c r="B100" t="s">
        <v>202</v>
      </c>
      <c r="C100" t="s">
        <v>203</v>
      </c>
      <c r="D100" s="1">
        <v>4.1859366967038474E-25</v>
      </c>
      <c r="E100">
        <v>2.4499999999999998E-10</v>
      </c>
      <c r="G100" s="1"/>
      <c r="H100" s="1"/>
      <c r="J100">
        <f t="shared" si="6"/>
        <v>0</v>
      </c>
      <c r="M100" s="1"/>
    </row>
    <row r="101" spans="1:13" hidden="1" x14ac:dyDescent="0.25">
      <c r="A101">
        <f t="shared" si="7"/>
        <v>100</v>
      </c>
      <c r="B101" t="s">
        <v>204</v>
      </c>
      <c r="C101" t="s">
        <v>205</v>
      </c>
      <c r="D101" s="1">
        <v>4.2691647413435752E-25</v>
      </c>
      <c r="E101">
        <v>0</v>
      </c>
      <c r="G101" s="1"/>
      <c r="H101" s="1"/>
      <c r="J101">
        <f t="shared" si="6"/>
        <v>0</v>
      </c>
      <c r="M101" s="1"/>
    </row>
    <row r="102" spans="1:13" hidden="1" x14ac:dyDescent="0.25">
      <c r="A102">
        <f t="shared" si="7"/>
        <v>101</v>
      </c>
      <c r="B102" t="s">
        <v>206</v>
      </c>
      <c r="C102" t="s">
        <v>207</v>
      </c>
      <c r="D102" s="1">
        <v>4.285825261912344E-25</v>
      </c>
      <c r="E102">
        <v>0</v>
      </c>
      <c r="G102" s="1"/>
      <c r="H102" s="1"/>
      <c r="J102">
        <f t="shared" si="6"/>
        <v>0</v>
      </c>
      <c r="M102" s="1"/>
    </row>
    <row r="103" spans="1:13" hidden="1" x14ac:dyDescent="0.25">
      <c r="A103">
        <f t="shared" si="7"/>
        <v>102</v>
      </c>
      <c r="B103" t="s">
        <v>208</v>
      </c>
      <c r="C103" t="s">
        <v>209</v>
      </c>
      <c r="D103" s="1">
        <v>4.3024733284381085E-25</v>
      </c>
      <c r="E103">
        <v>0</v>
      </c>
      <c r="G103" s="1"/>
      <c r="H103" s="1"/>
      <c r="J103">
        <f t="shared" si="6"/>
        <v>0</v>
      </c>
      <c r="M103" s="1"/>
    </row>
    <row r="104" spans="1:13" hidden="1" x14ac:dyDescent="0.25">
      <c r="A104">
        <f t="shared" si="7"/>
        <v>103</v>
      </c>
      <c r="B104" t="s">
        <v>210</v>
      </c>
      <c r="C104" t="s">
        <v>211</v>
      </c>
      <c r="D104" s="1">
        <v>4.4190265655630408E-25</v>
      </c>
      <c r="E104">
        <v>0</v>
      </c>
      <c r="G104" s="1"/>
      <c r="H104" s="1"/>
      <c r="J104">
        <f t="shared" si="6"/>
        <v>0</v>
      </c>
      <c r="M104" s="1"/>
    </row>
    <row r="105" spans="1:13" hidden="1" x14ac:dyDescent="0.25">
      <c r="A105">
        <f t="shared" si="7"/>
        <v>104</v>
      </c>
      <c r="B105" t="s">
        <v>212</v>
      </c>
      <c r="C105" t="s">
        <v>213</v>
      </c>
      <c r="D105" s="1">
        <v>4.4356651670161224E-25</v>
      </c>
      <c r="E105">
        <v>0</v>
      </c>
      <c r="G105" s="1"/>
      <c r="H105" s="1"/>
      <c r="J105">
        <f t="shared" si="6"/>
        <v>0</v>
      </c>
      <c r="M105" s="1"/>
    </row>
    <row r="106" spans="1:13" hidden="1" x14ac:dyDescent="0.25">
      <c r="A106">
        <f t="shared" si="7"/>
        <v>105</v>
      </c>
      <c r="B106" t="s">
        <v>214</v>
      </c>
      <c r="C106" t="s">
        <v>215</v>
      </c>
      <c r="D106" s="1">
        <v>4.4523369792505482E-25</v>
      </c>
      <c r="E106">
        <v>0</v>
      </c>
      <c r="G106" s="1"/>
      <c r="H106" s="1"/>
      <c r="J106">
        <f t="shared" si="6"/>
        <v>0</v>
      </c>
      <c r="M106" s="1"/>
    </row>
    <row r="107" spans="1:13" hidden="1" x14ac:dyDescent="0.25">
      <c r="A107">
        <f t="shared" si="7"/>
        <v>106</v>
      </c>
      <c r="B107" t="s">
        <v>216</v>
      </c>
      <c r="C107" t="s">
        <v>217</v>
      </c>
      <c r="D107" s="1">
        <v>4.4689755807036297E-25</v>
      </c>
      <c r="E107">
        <v>0</v>
      </c>
      <c r="G107" s="1"/>
      <c r="H107" s="1"/>
      <c r="J107">
        <f t="shared" si="6"/>
        <v>0</v>
      </c>
      <c r="M107" s="1"/>
    </row>
    <row r="108" spans="1:13" hidden="1" x14ac:dyDescent="0.25">
      <c r="A108">
        <f t="shared" si="7"/>
        <v>107</v>
      </c>
      <c r="B108" t="s">
        <v>218</v>
      </c>
      <c r="C108" t="s">
        <v>219</v>
      </c>
      <c r="D108" s="1">
        <v>4.4856639983287267E-25</v>
      </c>
      <c r="E108">
        <v>0</v>
      </c>
      <c r="G108" s="1"/>
      <c r="H108" s="1"/>
      <c r="J108">
        <f t="shared" si="6"/>
        <v>0</v>
      </c>
      <c r="M108" s="1"/>
    </row>
    <row r="109" spans="1:13" hidden="1" x14ac:dyDescent="0.25">
      <c r="A109">
        <f t="shared" si="7"/>
        <v>108</v>
      </c>
      <c r="B109" t="s">
        <v>220</v>
      </c>
      <c r="C109" t="s">
        <v>221</v>
      </c>
      <c r="D109" s="1">
        <v>4.4690685708913911E-25</v>
      </c>
      <c r="E109">
        <v>0</v>
      </c>
      <c r="G109" s="1"/>
      <c r="H109" s="1"/>
      <c r="J109">
        <f t="shared" si="6"/>
        <v>0</v>
      </c>
      <c r="M109" s="1"/>
    </row>
    <row r="110" spans="1:13" hidden="1" x14ac:dyDescent="0.25">
      <c r="A110">
        <f t="shared" si="7"/>
        <v>109</v>
      </c>
      <c r="B110" t="s">
        <v>222</v>
      </c>
      <c r="C110" t="s">
        <v>223</v>
      </c>
      <c r="D110" s="1">
        <v>4.6022504462350024E-25</v>
      </c>
      <c r="E110">
        <v>0</v>
      </c>
      <c r="G110" s="1"/>
      <c r="H110" s="1"/>
      <c r="J110">
        <f t="shared" si="6"/>
        <v>0</v>
      </c>
      <c r="M110" s="1"/>
    </row>
    <row r="111" spans="1:13" hidden="1" x14ac:dyDescent="0.25">
      <c r="A111">
        <f t="shared" si="7"/>
        <v>110</v>
      </c>
      <c r="B111" t="s">
        <v>224</v>
      </c>
      <c r="C111" t="s">
        <v>225</v>
      </c>
      <c r="D111" s="1">
        <v>4.6854766642817562E-25</v>
      </c>
      <c r="E111">
        <v>0</v>
      </c>
      <c r="G111" s="1"/>
      <c r="H111" s="1"/>
      <c r="J111">
        <f t="shared" si="6"/>
        <v>0</v>
      </c>
      <c r="M111" s="1"/>
    </row>
    <row r="112" spans="1:13" hidden="1" x14ac:dyDescent="0.25">
      <c r="A112">
        <f t="shared" si="7"/>
        <v>111</v>
      </c>
      <c r="B112" t="s">
        <v>226</v>
      </c>
      <c r="C112" t="s">
        <v>227</v>
      </c>
      <c r="D112" s="1">
        <v>4.6855264804537717E-25</v>
      </c>
      <c r="E112">
        <v>0</v>
      </c>
      <c r="G112" s="1"/>
      <c r="H112" s="1"/>
      <c r="J112">
        <f t="shared" si="6"/>
        <v>0</v>
      </c>
      <c r="M112" s="1"/>
    </row>
    <row r="113" spans="1:13" hidden="1" x14ac:dyDescent="0.25">
      <c r="A113">
        <f t="shared" si="7"/>
        <v>112</v>
      </c>
      <c r="B113" t="s">
        <v>228</v>
      </c>
      <c r="C113" t="s">
        <v>229</v>
      </c>
      <c r="D113" s="1">
        <v>4.752114097047443E-25</v>
      </c>
      <c r="E113">
        <v>0</v>
      </c>
      <c r="G113" s="1"/>
      <c r="H113" s="1"/>
      <c r="J113">
        <f t="shared" si="6"/>
        <v>0</v>
      </c>
      <c r="M113" s="1"/>
    </row>
    <row r="114" spans="1:13" hidden="1" x14ac:dyDescent="0.25">
      <c r="A114">
        <f t="shared" si="7"/>
        <v>113</v>
      </c>
      <c r="B114" t="s">
        <v>230</v>
      </c>
      <c r="C114" t="s">
        <v>231</v>
      </c>
      <c r="D114" s="1">
        <v>4.7521639132194585E-25</v>
      </c>
      <c r="E114">
        <v>0</v>
      </c>
      <c r="G114" s="1"/>
      <c r="H114" s="1"/>
      <c r="J114">
        <f t="shared" si="6"/>
        <v>0</v>
      </c>
      <c r="M114" s="1"/>
    </row>
    <row r="115" spans="1:13" hidden="1" x14ac:dyDescent="0.25">
      <c r="A115">
        <f t="shared" si="7"/>
        <v>114</v>
      </c>
      <c r="B115" t="s">
        <v>232</v>
      </c>
      <c r="C115" t="s">
        <v>233</v>
      </c>
      <c r="D115" s="1">
        <v>4.8187515298131299E-25</v>
      </c>
      <c r="E115">
        <v>0</v>
      </c>
      <c r="G115" s="1"/>
      <c r="H115" s="1"/>
      <c r="J115">
        <f t="shared" si="6"/>
        <v>0</v>
      </c>
      <c r="M115" s="1"/>
    </row>
    <row r="116" spans="1:13" hidden="1" x14ac:dyDescent="0.25">
      <c r="A116">
        <f t="shared" si="7"/>
        <v>115</v>
      </c>
      <c r="B116" t="s">
        <v>234</v>
      </c>
      <c r="C116" t="s">
        <v>235</v>
      </c>
      <c r="D116" s="1">
        <v>4.8188179513758166E-25</v>
      </c>
      <c r="E116">
        <v>0</v>
      </c>
      <c r="G116" s="1"/>
      <c r="H116" s="1"/>
      <c r="J116">
        <f t="shared" si="6"/>
        <v>0</v>
      </c>
      <c r="M116" s="1"/>
    </row>
    <row r="117" spans="1:13" hidden="1" x14ac:dyDescent="0.25">
      <c r="A117">
        <f t="shared" si="7"/>
        <v>116</v>
      </c>
      <c r="B117" t="s">
        <v>236</v>
      </c>
      <c r="C117" t="s">
        <v>237</v>
      </c>
      <c r="D117" s="1">
        <v>4.8687835719070767E-25</v>
      </c>
      <c r="E117">
        <v>0</v>
      </c>
      <c r="G117" s="1"/>
      <c r="H117" s="1"/>
      <c r="J117">
        <f t="shared" si="6"/>
        <v>0</v>
      </c>
      <c r="M117" s="1"/>
    </row>
    <row r="118" spans="1:13" hidden="1" x14ac:dyDescent="0.25">
      <c r="A118">
        <f t="shared" si="7"/>
        <v>117</v>
      </c>
      <c r="B118" t="s">
        <v>238</v>
      </c>
      <c r="C118" t="s">
        <v>239</v>
      </c>
      <c r="D118" s="1">
        <v>4.8854885949228468E-25</v>
      </c>
      <c r="E118">
        <v>0</v>
      </c>
      <c r="G118" s="1"/>
      <c r="H118" s="1"/>
      <c r="J118">
        <f t="shared" si="6"/>
        <v>0</v>
      </c>
      <c r="M118" s="1"/>
    </row>
    <row r="119" spans="1:13" hidden="1" x14ac:dyDescent="0.25">
      <c r="A119">
        <f t="shared" si="7"/>
        <v>118</v>
      </c>
      <c r="B119" t="s">
        <v>240</v>
      </c>
      <c r="C119" t="s">
        <v>241</v>
      </c>
      <c r="D119" s="1">
        <v>4.9021770125479429E-25</v>
      </c>
      <c r="E119">
        <v>0</v>
      </c>
      <c r="G119" s="1"/>
      <c r="H119" s="1"/>
      <c r="J119">
        <f t="shared" si="6"/>
        <v>0</v>
      </c>
      <c r="M119" s="1"/>
    </row>
    <row r="120" spans="1:13" x14ac:dyDescent="0.25">
      <c r="C120" t="s">
        <v>258</v>
      </c>
      <c r="F120">
        <v>1</v>
      </c>
      <c r="G120" s="1">
        <v>1.131E-15</v>
      </c>
      <c r="H120" s="1">
        <f>5*8.6348E-23+1765*(D48+D34)</f>
        <v>9.674691355474727E-22</v>
      </c>
      <c r="I120" s="1">
        <f>0.000000015</f>
        <v>1.4999999999999999E-8</v>
      </c>
      <c r="J120">
        <f t="shared" si="6"/>
        <v>2.8274333882308136E-10</v>
      </c>
      <c r="M120" s="1"/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776BB-73BE-4C18-B52F-A7F2C4200344}">
  <dimension ref="A1:K21"/>
  <sheetViews>
    <sheetView workbookViewId="0">
      <selection activeCell="G19" sqref="G19"/>
    </sheetView>
  </sheetViews>
  <sheetFormatPr defaultRowHeight="15" x14ac:dyDescent="0.25"/>
  <cols>
    <col min="1" max="1" width="18.7109375" bestFit="1" customWidth="1"/>
    <col min="2" max="2" width="12" bestFit="1" customWidth="1"/>
    <col min="3" max="3" width="80.42578125" bestFit="1" customWidth="1"/>
    <col min="4" max="4" width="16.28515625" bestFit="1" customWidth="1"/>
    <col min="5" max="5" width="17.42578125" bestFit="1" customWidth="1"/>
    <col min="6" max="6" width="15" bestFit="1" customWidth="1"/>
    <col min="7" max="7" width="12.7109375" bestFit="1" customWidth="1"/>
    <col min="8" max="8" width="14.28515625" bestFit="1" customWidth="1"/>
    <col min="9" max="9" width="15.28515625" bestFit="1" customWidth="1"/>
    <col min="10" max="10" width="11" bestFit="1" customWidth="1"/>
  </cols>
  <sheetData>
    <row r="1" spans="1:11" s="3" customFormat="1" x14ac:dyDescent="0.25">
      <c r="A1" s="3" t="s">
        <v>0</v>
      </c>
      <c r="B1" s="3" t="s">
        <v>7</v>
      </c>
      <c r="C1" s="3" t="s">
        <v>271</v>
      </c>
      <c r="D1" s="3" t="s">
        <v>243</v>
      </c>
      <c r="E1" s="3" t="s">
        <v>246</v>
      </c>
      <c r="F1" s="3" t="s">
        <v>1</v>
      </c>
      <c r="G1" s="3" t="s">
        <v>247</v>
      </c>
      <c r="H1" s="3" t="s">
        <v>275</v>
      </c>
      <c r="I1" s="3" t="s">
        <v>245</v>
      </c>
      <c r="J1" s="3" t="s">
        <v>256</v>
      </c>
      <c r="K1" s="3" t="s">
        <v>283</v>
      </c>
    </row>
    <row r="2" spans="1:11" s="3" customFormat="1" x14ac:dyDescent="0.25">
      <c r="A2" t="s">
        <v>272</v>
      </c>
      <c r="B2" t="s">
        <v>272</v>
      </c>
      <c r="C2" t="s">
        <v>288</v>
      </c>
      <c r="D2" t="s">
        <v>272</v>
      </c>
      <c r="E2" t="s">
        <v>272</v>
      </c>
      <c r="F2" t="s">
        <v>272</v>
      </c>
      <c r="G2" s="1">
        <f>ABS(4*PI()*I2^2*B15*-1*Constants!$B$2)</f>
        <v>4.5338721247467527E-11</v>
      </c>
      <c r="H2" s="1">
        <f>4/3*PI()*I2^3*Constants!$B$5</f>
        <v>4.2455846355743857E-13</v>
      </c>
      <c r="I2" s="1">
        <f>0.00000916/2</f>
        <v>4.5800000000000002E-6</v>
      </c>
      <c r="J2" s="1">
        <f>I2*6*PI()*Constants!$B$6</f>
        <v>8.6330966120647525E-8</v>
      </c>
      <c r="K2" s="1">
        <f>G2/J2</f>
        <v>5.2517333333333336E-4</v>
      </c>
    </row>
    <row r="3" spans="1:11" x14ac:dyDescent="0.25">
      <c r="A3" t="s">
        <v>272</v>
      </c>
      <c r="B3" t="s">
        <v>272</v>
      </c>
      <c r="C3" t="s">
        <v>289</v>
      </c>
      <c r="D3" t="s">
        <v>272</v>
      </c>
      <c r="E3" t="s">
        <v>272</v>
      </c>
      <c r="F3" t="s">
        <v>272</v>
      </c>
      <c r="G3" s="1">
        <f>ABS(4*PI()*I3^2*B15*-1*Constants!$B$2)</f>
        <v>6.1865122180433195E-11</v>
      </c>
      <c r="H3" s="1">
        <f>4/3*PI()*I3^3*Constants!$B$5</f>
        <v>6.7670972067230634E-13</v>
      </c>
      <c r="I3" s="1">
        <f>0.0000107/2</f>
        <v>5.3499999999999996E-6</v>
      </c>
      <c r="J3" s="1">
        <f>I3*6*PI()*Constants!$B$6</f>
        <v>1.0084512418023235E-7</v>
      </c>
      <c r="K3" s="1">
        <f t="shared" ref="K3:K6" si="0">G3/J3</f>
        <v>6.1346666666666654E-4</v>
      </c>
    </row>
    <row r="4" spans="1:11" x14ac:dyDescent="0.25">
      <c r="A4" t="s">
        <v>272</v>
      </c>
      <c r="B4" t="s">
        <v>272</v>
      </c>
      <c r="C4" t="s">
        <v>278</v>
      </c>
      <c r="D4" t="s">
        <v>272</v>
      </c>
      <c r="E4" t="s">
        <v>272</v>
      </c>
      <c r="F4" t="s">
        <v>272</v>
      </c>
      <c r="G4" s="1">
        <f>ABS(4*PI()*I4^2*AVERAGE(B15:B16)*-1*Constants!$B$2)</f>
        <v>7.0118166539254913E-11</v>
      </c>
      <c r="H4" s="1">
        <f>4/3*PI()*I4^3*Constants!$B$5</f>
        <v>5.4087739022686765E-13</v>
      </c>
      <c r="I4" s="1">
        <f>AVERAGE(I2,I3)</f>
        <v>4.9649999999999999E-6</v>
      </c>
      <c r="J4" s="1">
        <f>I4*6*PI()*Constants!$B$6</f>
        <v>9.3588045150439929E-8</v>
      </c>
      <c r="K4" s="1">
        <f t="shared" si="0"/>
        <v>7.4922140350877186E-4</v>
      </c>
    </row>
    <row r="5" spans="1:11" x14ac:dyDescent="0.25">
      <c r="A5" t="s">
        <v>272</v>
      </c>
      <c r="B5" t="s">
        <v>272</v>
      </c>
      <c r="C5" t="s">
        <v>291</v>
      </c>
      <c r="D5" t="s">
        <v>272</v>
      </c>
      <c r="E5" t="s">
        <v>272</v>
      </c>
      <c r="F5" t="s">
        <v>272</v>
      </c>
      <c r="G5" s="1">
        <f>ABS(4*PI()*I5^2*B16*-1*Constants!$B$2)</f>
        <v>7.3992201138257894E-11</v>
      </c>
      <c r="H5" s="1">
        <f>4/3*PI()*I5^3*Constants!$B$5</f>
        <v>4.2455846355743857E-13</v>
      </c>
      <c r="I5" s="1">
        <f>0.00000916/2</f>
        <v>4.5800000000000002E-6</v>
      </c>
      <c r="J5" s="1">
        <f>I5*6*PI()*Constants!$B$6</f>
        <v>8.6330966120647525E-8</v>
      </c>
      <c r="K5" s="1">
        <f t="shared" si="0"/>
        <v>8.5707602339181281E-4</v>
      </c>
    </row>
    <row r="6" spans="1:11" x14ac:dyDescent="0.25">
      <c r="A6" t="s">
        <v>272</v>
      </c>
      <c r="B6" t="s">
        <v>272</v>
      </c>
      <c r="C6" t="s">
        <v>290</v>
      </c>
      <c r="D6" t="s">
        <v>272</v>
      </c>
      <c r="E6" t="s">
        <v>272</v>
      </c>
      <c r="F6" t="s">
        <v>272</v>
      </c>
      <c r="G6" s="1">
        <f>ABS(4*PI()*I6^2*B16*-1*Constants!$B$2)</f>
        <v>1.0096307169389342E-10</v>
      </c>
      <c r="H6" s="1">
        <f>4/3*PI()*I6^3*Constants!$B$5</f>
        <v>6.7670972067230634E-13</v>
      </c>
      <c r="I6" s="1">
        <f>0.0000107/2</f>
        <v>5.3499999999999996E-6</v>
      </c>
      <c r="J6" s="1">
        <f>I6*6*PI()*Constants!$B$6</f>
        <v>1.0084512418023235E-7</v>
      </c>
      <c r="K6" s="1">
        <f t="shared" si="0"/>
        <v>1.0011695906432746E-3</v>
      </c>
    </row>
    <row r="14" spans="1:11" x14ac:dyDescent="0.25">
      <c r="G14" s="1"/>
    </row>
    <row r="15" spans="1:11" x14ac:dyDescent="0.25">
      <c r="A15" t="s">
        <v>280</v>
      </c>
      <c r="B15" s="1">
        <v>1.075E+18</v>
      </c>
      <c r="C15" t="s">
        <v>281</v>
      </c>
      <c r="E15" s="1"/>
      <c r="F15" s="1"/>
      <c r="G15" s="1"/>
    </row>
    <row r="16" spans="1:11" x14ac:dyDescent="0.25">
      <c r="A16" t="s">
        <v>282</v>
      </c>
      <c r="B16">
        <f>(1/57)*10^20</f>
        <v>1.7543859649122806E+18</v>
      </c>
      <c r="C16" t="s">
        <v>281</v>
      </c>
      <c r="E16" s="1"/>
    </row>
    <row r="18" spans="7:9" x14ac:dyDescent="0.25">
      <c r="G18" s="1"/>
      <c r="H18" s="1"/>
    </row>
    <row r="21" spans="7:9" x14ac:dyDescent="0.25">
      <c r="G21" s="1"/>
      <c r="I21" s="1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41F44-63FD-4E54-9E77-2B54B8E2083D}">
  <dimension ref="A1:K16"/>
  <sheetViews>
    <sheetView workbookViewId="0">
      <selection activeCell="C2" sqref="C2:C6"/>
    </sheetView>
  </sheetViews>
  <sheetFormatPr defaultRowHeight="15" x14ac:dyDescent="0.25"/>
  <cols>
    <col min="1" max="1" width="18.7109375" bestFit="1" customWidth="1"/>
    <col min="2" max="2" width="12" bestFit="1" customWidth="1"/>
    <col min="3" max="3" width="80" bestFit="1" customWidth="1"/>
    <col min="4" max="4" width="16.28515625" bestFit="1" customWidth="1"/>
    <col min="5" max="5" width="17.42578125" bestFit="1" customWidth="1"/>
    <col min="6" max="6" width="15" bestFit="1" customWidth="1"/>
    <col min="7" max="7" width="10.140625" bestFit="1" customWidth="1"/>
    <col min="8" max="8" width="12" bestFit="1" customWidth="1"/>
    <col min="9" max="9" width="15.28515625" bestFit="1" customWidth="1"/>
    <col min="10" max="10" width="12" bestFit="1" customWidth="1"/>
  </cols>
  <sheetData>
    <row r="1" spans="1:11" x14ac:dyDescent="0.25">
      <c r="A1" s="3" t="s">
        <v>0</v>
      </c>
      <c r="B1" s="3" t="s">
        <v>7</v>
      </c>
      <c r="C1" s="3" t="s">
        <v>271</v>
      </c>
      <c r="D1" s="3" t="s">
        <v>243</v>
      </c>
      <c r="E1" s="3" t="s">
        <v>246</v>
      </c>
      <c r="F1" s="3" t="s">
        <v>1</v>
      </c>
      <c r="G1" s="3" t="s">
        <v>247</v>
      </c>
      <c r="H1" s="3" t="s">
        <v>275</v>
      </c>
      <c r="I1" s="3" t="s">
        <v>245</v>
      </c>
      <c r="J1" s="3" t="s">
        <v>256</v>
      </c>
      <c r="K1" s="3" t="s">
        <v>283</v>
      </c>
    </row>
    <row r="2" spans="1:11" x14ac:dyDescent="0.25">
      <c r="A2" t="s">
        <v>272</v>
      </c>
      <c r="B2" t="s">
        <v>272</v>
      </c>
      <c r="C2" t="s">
        <v>284</v>
      </c>
      <c r="D2" t="s">
        <v>272</v>
      </c>
      <c r="E2" t="s">
        <v>272</v>
      </c>
      <c r="F2" t="s">
        <v>272</v>
      </c>
      <c r="G2" s="1">
        <f>ABS(4*PI()*I2^2*B15*-1*Constants!$B$2)</f>
        <v>1.5250949501445952E-12</v>
      </c>
      <c r="H2">
        <f>4/3*PI()*I2^3*Constants!$B$5</f>
        <v>2.6192619085622871E-15</v>
      </c>
      <c r="I2">
        <f>0.00000168/2</f>
        <v>8.4E-7</v>
      </c>
      <c r="J2">
        <f>I2*6*PI()*Constants!$B$6</f>
        <v>1.5833626974092556E-8</v>
      </c>
      <c r="K2" s="1">
        <f>G2/J2</f>
        <v>9.6320000000000013E-5</v>
      </c>
    </row>
    <row r="3" spans="1:11" x14ac:dyDescent="0.25">
      <c r="A3" t="s">
        <v>272</v>
      </c>
      <c r="B3" t="s">
        <v>272</v>
      </c>
      <c r="C3" t="s">
        <v>285</v>
      </c>
      <c r="D3" t="s">
        <v>272</v>
      </c>
      <c r="E3" t="s">
        <v>272</v>
      </c>
      <c r="F3" t="s">
        <v>272</v>
      </c>
      <c r="G3" s="1">
        <f>ABS(4*PI()*I3^2*B16*-1*Constants!$B$2)</f>
        <v>1.7645435035804641E-12</v>
      </c>
      <c r="H3">
        <f>4/3*PI()*I3^3*Constants!$B$5</f>
        <v>2.6192619085622871E-15</v>
      </c>
      <c r="I3">
        <f>0.00000168/2</f>
        <v>8.4E-7</v>
      </c>
      <c r="J3">
        <f>I3*6*PI()*Constants!$B$6</f>
        <v>1.5833626974092556E-8</v>
      </c>
      <c r="K3" s="1">
        <f t="shared" ref="K3:K6" si="0">G3/J3</f>
        <v>1.1144278606965175E-4</v>
      </c>
    </row>
    <row r="4" spans="1:11" x14ac:dyDescent="0.25">
      <c r="A4" t="s">
        <v>272</v>
      </c>
      <c r="B4" t="s">
        <v>272</v>
      </c>
      <c r="C4" t="s">
        <v>279</v>
      </c>
      <c r="D4" t="s">
        <v>272</v>
      </c>
      <c r="E4" t="s">
        <v>272</v>
      </c>
      <c r="F4" t="s">
        <v>272</v>
      </c>
      <c r="G4" s="1">
        <f>ABS(4*PI()*I4^2*AVERAGE(B15:B16)*-1*Constants!$B$2)</f>
        <v>2.5456118427077013E-12</v>
      </c>
      <c r="H4">
        <f>4/3*PI()*I4^3*Constants!$B$5</f>
        <v>5.0430112881879159E-15</v>
      </c>
      <c r="I4" s="1">
        <f>AVERAGE(I2,I5)</f>
        <v>1.0450000000000002E-6</v>
      </c>
      <c r="J4">
        <f>I4*6*PI()*Constants!$B$6</f>
        <v>1.9697785938008005E-8</v>
      </c>
      <c r="K4" s="1">
        <f t="shared" si="0"/>
        <v>1.2923339966832505E-4</v>
      </c>
    </row>
    <row r="5" spans="1:11" x14ac:dyDescent="0.25">
      <c r="A5" t="s">
        <v>272</v>
      </c>
      <c r="B5" t="s">
        <v>272</v>
      </c>
      <c r="C5" t="s">
        <v>286</v>
      </c>
      <c r="D5" t="s">
        <v>272</v>
      </c>
      <c r="E5" t="s">
        <v>272</v>
      </c>
      <c r="F5" t="s">
        <v>272</v>
      </c>
      <c r="G5" s="1">
        <f>ABS(4*PI()*I5^2*B15*-1*Constants!$B$2)</f>
        <v>3.3772121026090273E-12</v>
      </c>
      <c r="H5">
        <f>4/3*PI()*I5^3*Constants!$B$5</f>
        <v>8.6311985665032089E-15</v>
      </c>
      <c r="I5">
        <f>0.0000025/2</f>
        <v>1.2500000000000001E-6</v>
      </c>
      <c r="J5">
        <f>I5*6*PI()*Constants!$B$6</f>
        <v>2.3561944901923453E-8</v>
      </c>
      <c r="K5" s="1">
        <f t="shared" si="0"/>
        <v>1.4333333333333328E-4</v>
      </c>
    </row>
    <row r="6" spans="1:11" x14ac:dyDescent="0.25">
      <c r="A6" t="s">
        <v>272</v>
      </c>
      <c r="B6" t="s">
        <v>272</v>
      </c>
      <c r="C6" t="s">
        <v>287</v>
      </c>
      <c r="D6" t="s">
        <v>272</v>
      </c>
      <c r="E6" t="s">
        <v>272</v>
      </c>
      <c r="F6" t="s">
        <v>272</v>
      </c>
      <c r="G6" s="1">
        <f>ABS(4*PI()*I6^2*B16*-1*Constants!$B$2)</f>
        <v>3.9074535492410362E-12</v>
      </c>
      <c r="H6">
        <f>4/3*PI()*I6^3*Constants!$B$5</f>
        <v>8.6311985665032089E-15</v>
      </c>
      <c r="I6">
        <f>0.0000025/2</f>
        <v>1.2500000000000001E-6</v>
      </c>
      <c r="J6">
        <f>I6*6*PI()*Constants!$B$6</f>
        <v>2.3561944901923453E-8</v>
      </c>
      <c r="K6" s="1">
        <f t="shared" si="0"/>
        <v>1.6583747927031506E-4</v>
      </c>
    </row>
    <row r="12" spans="1:11" x14ac:dyDescent="0.25">
      <c r="G12" s="1"/>
    </row>
    <row r="15" spans="1:11" x14ac:dyDescent="0.25">
      <c r="A15" t="s">
        <v>280</v>
      </c>
      <c r="B15" s="1">
        <v>1.075E+18</v>
      </c>
      <c r="C15" t="s">
        <v>281</v>
      </c>
      <c r="I15" s="1"/>
    </row>
    <row r="16" spans="1:11" x14ac:dyDescent="0.25">
      <c r="A16" t="s">
        <v>282</v>
      </c>
      <c r="B16">
        <f>(1/80.4)*10^20</f>
        <v>1.2437810945273631E+18</v>
      </c>
      <c r="C16" t="s">
        <v>281</v>
      </c>
      <c r="G16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MATLAB Input</vt:lpstr>
      <vt:lpstr>Constants</vt:lpstr>
      <vt:lpstr>Values</vt:lpstr>
      <vt:lpstr>Quantum Dot</vt:lpstr>
      <vt:lpstr>10um Microsphere</vt:lpstr>
      <vt:lpstr>2um Microsphere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Brunner</dc:creator>
  <cp:lastModifiedBy>Dan Brunner</cp:lastModifiedBy>
  <dcterms:created xsi:type="dcterms:W3CDTF">2015-06-05T18:17:20Z</dcterms:created>
  <dcterms:modified xsi:type="dcterms:W3CDTF">2025-09-25T15:31:01Z</dcterms:modified>
</cp:coreProperties>
</file>